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anastasiia/ITMO/"/>
    </mc:Choice>
  </mc:AlternateContent>
  <xr:revisionPtr revIDLastSave="0" documentId="13_ncr:1_{44F6547F-ECE9-CC47-960C-537A2515BF79}" xr6:coauthVersionLast="47" xr6:coauthVersionMax="47" xr10:uidLastSave="{00000000-0000-0000-0000-000000000000}"/>
  <bookViews>
    <workbookView xWindow="960" yWindow="3120" windowWidth="34560" windowHeight="21000" xr2:uid="{43FBA39A-1846-7542-941C-DC06409DFD9C}"/>
  </bookViews>
  <sheets>
    <sheet name="Лист1" sheetId="1" r:id="rId1"/>
    <sheet name="Лист5" sheetId="5" r:id="rId2"/>
    <sheet name="Лист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6" i="1" l="1"/>
  <c r="AW11" i="1"/>
  <c r="AC13" i="1"/>
  <c r="AD13" i="1"/>
  <c r="AE13" i="1"/>
  <c r="AF13" i="1"/>
  <c r="AH13" i="1"/>
  <c r="AI13" i="1"/>
  <c r="AJ13" i="1"/>
  <c r="AK13" i="1"/>
  <c r="AM13" i="1"/>
  <c r="AN13" i="1"/>
  <c r="AO13" i="1"/>
  <c r="AP13" i="1"/>
  <c r="AR13" i="1"/>
  <c r="AS13" i="1"/>
  <c r="AW21" i="1"/>
  <c r="AR3" i="1" l="1"/>
  <c r="AS3" i="1"/>
  <c r="BF28" i="1"/>
  <c r="AN14" i="1"/>
  <c r="T5" i="1"/>
  <c r="BF4" i="1"/>
  <c r="BF3" i="1"/>
  <c r="BF8" i="1"/>
  <c r="A1" i="5" l="1"/>
  <c r="G4" i="1"/>
  <c r="AC4" i="1" s="1"/>
  <c r="BF13" i="1"/>
  <c r="AQ35" i="1"/>
  <c r="AL35" i="1"/>
  <c r="AG35" i="1"/>
  <c r="AQ34" i="1"/>
  <c r="AL34" i="1"/>
  <c r="AG34" i="1"/>
  <c r="AQ30" i="1"/>
  <c r="AL30" i="1"/>
  <c r="AG30" i="1"/>
  <c r="AQ29" i="1"/>
  <c r="AL29" i="1"/>
  <c r="AG29" i="1"/>
  <c r="AQ25" i="1"/>
  <c r="AL25" i="1"/>
  <c r="AG25" i="1"/>
  <c r="AQ24" i="1"/>
  <c r="AL24" i="1"/>
  <c r="AG24" i="1"/>
  <c r="AQ20" i="1"/>
  <c r="AL20" i="1"/>
  <c r="AG20" i="1"/>
  <c r="AQ19" i="1"/>
  <c r="AL19" i="1"/>
  <c r="AG19" i="1"/>
  <c r="AL15" i="1"/>
  <c r="AG15" i="1"/>
  <c r="AP14" i="1"/>
  <c r="AQ14" i="1"/>
  <c r="AL14" i="1"/>
  <c r="AG14" i="1"/>
  <c r="AG10" i="1"/>
  <c r="AQ10" i="1"/>
  <c r="AL10" i="1"/>
  <c r="AQ9" i="1"/>
  <c r="AP9" i="1"/>
  <c r="AL9" i="1"/>
  <c r="AG9" i="1"/>
  <c r="H5" i="1"/>
  <c r="AD9" i="1" s="1"/>
  <c r="AL5" i="1"/>
  <c r="AP5" i="1"/>
  <c r="AQ5" i="1"/>
  <c r="AL4" i="1"/>
  <c r="AQ4" i="1"/>
  <c r="AG5" i="1"/>
  <c r="AG4" i="1"/>
  <c r="H4" i="1"/>
  <c r="Y5" i="1"/>
  <c r="AU5" i="1" s="1"/>
  <c r="X5" i="1"/>
  <c r="AT5" i="1" s="1"/>
  <c r="X4" i="1"/>
  <c r="AT4" i="1" s="1"/>
  <c r="W5" i="1"/>
  <c r="AS5" i="1" s="1"/>
  <c r="V5" i="1"/>
  <c r="AR5" i="1" s="1"/>
  <c r="S5" i="1"/>
  <c r="R5" i="1"/>
  <c r="AN5" i="1" s="1"/>
  <c r="Q5" i="1"/>
  <c r="AM5" i="1" s="1"/>
  <c r="O5" i="1"/>
  <c r="AK5" i="1" s="1"/>
  <c r="N5" i="1"/>
  <c r="AJ5" i="1" s="1"/>
  <c r="M5" i="1"/>
  <c r="AI9" i="1" s="1"/>
  <c r="L5" i="1"/>
  <c r="AH5" i="1" s="1"/>
  <c r="J5" i="1"/>
  <c r="AF9" i="1" s="1"/>
  <c r="I5" i="1"/>
  <c r="AE9" i="1" s="1"/>
  <c r="G5" i="1"/>
  <c r="Y4" i="1"/>
  <c r="AU4" i="1" s="1"/>
  <c r="W4" i="1"/>
  <c r="AS4" i="1" s="1"/>
  <c r="V4" i="1"/>
  <c r="T4" i="1"/>
  <c r="AP4" i="1" s="1"/>
  <c r="S4" i="1"/>
  <c r="R4" i="1"/>
  <c r="AN4" i="1" s="1"/>
  <c r="Q4" i="1"/>
  <c r="AM4" i="1" s="1"/>
  <c r="O4" i="1"/>
  <c r="AK4" i="1" s="1"/>
  <c r="N4" i="1"/>
  <c r="AJ4" i="1" s="1"/>
  <c r="M4" i="1"/>
  <c r="AI4" i="1" s="1"/>
  <c r="L4" i="1"/>
  <c r="J4" i="1"/>
  <c r="I4" i="1"/>
  <c r="AU6" i="1" l="1"/>
  <c r="AT3" i="1"/>
  <c r="AT6" i="1" s="1"/>
  <c r="AS29" i="1"/>
  <c r="AU14" i="1"/>
  <c r="AF14" i="1"/>
  <c r="AT9" i="1"/>
  <c r="AH14" i="1"/>
  <c r="AI14" i="1"/>
  <c r="AE5" i="1"/>
  <c r="AI5" i="1"/>
  <c r="AJ9" i="1"/>
  <c r="AS14" i="1"/>
  <c r="AF5" i="1"/>
  <c r="AK9" i="1"/>
  <c r="AT14" i="1"/>
  <c r="AK29" i="1"/>
  <c r="AM29" i="1"/>
  <c r="AU9" i="1"/>
  <c r="AK14" i="1"/>
  <c r="AH9" i="1"/>
  <c r="AT29" i="1"/>
  <c r="AN29" i="1"/>
  <c r="AD5" i="1"/>
  <c r="AR14" i="1"/>
  <c r="AC29" i="1"/>
  <c r="AO14" i="1"/>
  <c r="AO9" i="1"/>
  <c r="AU29" i="1"/>
  <c r="AF4" i="1"/>
  <c r="AF29" i="1"/>
  <c r="AN9" i="1"/>
  <c r="AO5" i="1"/>
  <c r="AS9" i="1"/>
  <c r="AC9" i="1"/>
  <c r="AC5" i="1"/>
  <c r="AC14" i="1"/>
  <c r="AJ29" i="1"/>
  <c r="AH4" i="1"/>
  <c r="AH29" i="1"/>
  <c r="AE14" i="1"/>
  <c r="AI29" i="1"/>
  <c r="AO4" i="1"/>
  <c r="AO29" i="1"/>
  <c r="AJ14" i="1"/>
  <c r="AE4" i="1"/>
  <c r="AE29" i="1"/>
  <c r="AR4" i="1"/>
  <c r="AR29" i="1"/>
  <c r="AM14" i="1"/>
  <c r="AM9" i="1"/>
  <c r="AD4" i="1"/>
  <c r="AD29" i="1"/>
  <c r="AR9" i="1"/>
  <c r="AD14" i="1"/>
  <c r="AS6" i="1"/>
  <c r="AP29" i="1"/>
  <c r="AP3" i="1" l="1"/>
  <c r="BA4" i="1" s="1"/>
  <c r="AR6" i="1"/>
  <c r="AP6" i="1" l="1"/>
  <c r="AO3" i="1"/>
  <c r="AN3" i="1" s="1"/>
  <c r="AO6" i="1" l="1"/>
  <c r="AM3" i="1"/>
  <c r="AN6" i="1"/>
  <c r="AK3" i="1" l="1"/>
  <c r="AM6" i="1"/>
  <c r="AK6" i="1" l="1"/>
  <c r="AJ3" i="1"/>
  <c r="AJ6" i="1" l="1"/>
  <c r="AI3" i="1"/>
  <c r="AI6" i="1" l="1"/>
  <c r="AH3" i="1"/>
  <c r="AF3" i="1" l="1"/>
  <c r="AH6" i="1"/>
  <c r="AE3" i="1" l="1"/>
  <c r="AF6" i="1"/>
  <c r="AD3" i="1" l="1"/>
  <c r="AE6" i="1"/>
  <c r="AD6" i="1" l="1"/>
  <c r="AZ2" i="1" s="1"/>
  <c r="AZ4" i="1" s="1"/>
  <c r="AC3" i="1"/>
  <c r="AY4" i="1" s="1"/>
  <c r="AC6" i="1" l="1"/>
  <c r="BD4" i="1" s="1"/>
  <c r="AW6" i="1" l="1"/>
  <c r="BB4" i="1"/>
  <c r="BC4" i="1"/>
  <c r="C11" i="1" l="1"/>
  <c r="G11" i="1" s="1"/>
  <c r="C10" i="1"/>
  <c r="G10" i="1" s="1"/>
  <c r="AC15" i="1" s="1"/>
  <c r="C8" i="1"/>
  <c r="C7" i="1"/>
  <c r="C6" i="1"/>
  <c r="M6" i="1" l="1"/>
  <c r="L6" i="1"/>
  <c r="T6" i="1"/>
  <c r="R6" i="1"/>
  <c r="Q6" i="1"/>
  <c r="O6" i="1"/>
  <c r="S6" i="1"/>
  <c r="N6" i="1"/>
  <c r="C13" i="1"/>
  <c r="G13" i="1" s="1"/>
  <c r="C9" i="1"/>
  <c r="G9" i="1" s="1"/>
  <c r="BF34" i="1"/>
  <c r="BF9" i="1"/>
  <c r="BF18" i="1"/>
  <c r="BF14" i="1"/>
  <c r="BF19" i="1"/>
  <c r="BF29" i="1"/>
  <c r="BF23" i="1"/>
  <c r="C12" i="1"/>
  <c r="N11" i="1"/>
  <c r="Y11" i="1"/>
  <c r="M11" i="1"/>
  <c r="X11" i="1"/>
  <c r="L11" i="1"/>
  <c r="Q11" i="1"/>
  <c r="W11" i="1"/>
  <c r="H11" i="1"/>
  <c r="V11" i="1"/>
  <c r="R11" i="1"/>
  <c r="T11" i="1"/>
  <c r="S11" i="1"/>
  <c r="I11" i="1"/>
  <c r="J11" i="1"/>
  <c r="O11" i="1"/>
  <c r="R8" i="1"/>
  <c r="O8" i="1"/>
  <c r="M8" i="1"/>
  <c r="J8" i="1"/>
  <c r="H8" i="1"/>
  <c r="X8" i="1"/>
  <c r="V8" i="1"/>
  <c r="S8" i="1"/>
  <c r="Q8" i="1"/>
  <c r="N8" i="1"/>
  <c r="L8" i="1"/>
  <c r="I8" i="1"/>
  <c r="G8" i="1"/>
  <c r="Y8" i="1"/>
  <c r="W8" i="1"/>
  <c r="R7" i="1"/>
  <c r="O7" i="1"/>
  <c r="M7" i="1"/>
  <c r="J7" i="1"/>
  <c r="H7" i="1"/>
  <c r="X7" i="1"/>
  <c r="V7" i="1"/>
  <c r="Q7" i="1"/>
  <c r="N7" i="1"/>
  <c r="L7" i="1"/>
  <c r="I7" i="1"/>
  <c r="G7" i="1"/>
  <c r="S7" i="1"/>
  <c r="Y7" i="1"/>
  <c r="W7" i="1"/>
  <c r="X10" i="1"/>
  <c r="R10" i="1"/>
  <c r="AN15" i="1" s="1"/>
  <c r="L10" i="1"/>
  <c r="AH15" i="1" s="1"/>
  <c r="Y10" i="1"/>
  <c r="S10" i="1"/>
  <c r="AO15" i="1" s="1"/>
  <c r="M10" i="1"/>
  <c r="AI15" i="1" s="1"/>
  <c r="V10" i="1"/>
  <c r="O10" i="1"/>
  <c r="AK15" i="1" s="1"/>
  <c r="I10" i="1"/>
  <c r="AE15" i="1" s="1"/>
  <c r="T10" i="1"/>
  <c r="H10" i="1"/>
  <c r="AD15" i="1" s="1"/>
  <c r="W10" i="1"/>
  <c r="Q10" i="1"/>
  <c r="AM15" i="1" s="1"/>
  <c r="J10" i="1"/>
  <c r="AF15" i="1" s="1"/>
  <c r="N10" i="1"/>
  <c r="AJ15" i="1" s="1"/>
  <c r="C14" i="1"/>
  <c r="X6" i="1"/>
  <c r="V6" i="1"/>
  <c r="I6" i="1"/>
  <c r="G6" i="1"/>
  <c r="Y6" i="1"/>
  <c r="W6" i="1"/>
  <c r="J6" i="1"/>
  <c r="H6" i="1"/>
  <c r="H13" i="1" l="1"/>
  <c r="J13" i="1"/>
  <c r="N13" i="1"/>
  <c r="Q13" i="1"/>
  <c r="W13" i="1"/>
  <c r="V13" i="1"/>
  <c r="I13" i="1"/>
  <c r="AU19" i="1"/>
  <c r="AU15" i="1"/>
  <c r="AT13" i="1" s="1"/>
  <c r="O13" i="1"/>
  <c r="L13" i="1"/>
  <c r="R13" i="1"/>
  <c r="X13" i="1"/>
  <c r="AP10" i="1"/>
  <c r="AP35" i="1"/>
  <c r="Y13" i="1"/>
  <c r="T13" i="1"/>
  <c r="M13" i="1"/>
  <c r="S13" i="1"/>
  <c r="BF33" i="1"/>
  <c r="G14" i="1"/>
  <c r="AC34" i="1" s="1"/>
  <c r="BF24" i="1"/>
  <c r="G12" i="1"/>
  <c r="AC25" i="1" s="1"/>
  <c r="S12" i="1"/>
  <c r="AO25" i="1" s="1"/>
  <c r="X12" i="1"/>
  <c r="AT25" i="1" s="1"/>
  <c r="V12" i="1"/>
  <c r="AR25" i="1" s="1"/>
  <c r="L12" i="1"/>
  <c r="AH25" i="1" s="1"/>
  <c r="T12" i="1"/>
  <c r="AP25" i="1" s="1"/>
  <c r="R12" i="1"/>
  <c r="AN25" i="1" s="1"/>
  <c r="M12" i="1"/>
  <c r="AI25" i="1" s="1"/>
  <c r="Y12" i="1"/>
  <c r="AU25" i="1" s="1"/>
  <c r="O12" i="1"/>
  <c r="AK25" i="1" s="1"/>
  <c r="J12" i="1"/>
  <c r="AF25" i="1" s="1"/>
  <c r="Q12" i="1"/>
  <c r="AM25" i="1" s="1"/>
  <c r="W12" i="1"/>
  <c r="AS25" i="1" s="1"/>
  <c r="I12" i="1"/>
  <c r="AE25" i="1" s="1"/>
  <c r="H12" i="1"/>
  <c r="AD25" i="1" s="1"/>
  <c r="N12" i="1"/>
  <c r="AJ25" i="1" s="1"/>
  <c r="AE10" i="1"/>
  <c r="AE35" i="1"/>
  <c r="AT30" i="1"/>
  <c r="AT20" i="1"/>
  <c r="AT24" i="1"/>
  <c r="AO20" i="1"/>
  <c r="AO24" i="1"/>
  <c r="AO30" i="1"/>
  <c r="AH35" i="1"/>
  <c r="AH10" i="1"/>
  <c r="AS15" i="1"/>
  <c r="AS19" i="1"/>
  <c r="AE20" i="1"/>
  <c r="AE24" i="1"/>
  <c r="AE30" i="1"/>
  <c r="AH19" i="1"/>
  <c r="AJ35" i="1"/>
  <c r="AJ10" i="1"/>
  <c r="AF19" i="1"/>
  <c r="AM19" i="1"/>
  <c r="AI30" i="1"/>
  <c r="AI20" i="1"/>
  <c r="AI24" i="1"/>
  <c r="AD10" i="1"/>
  <c r="AD35" i="1"/>
  <c r="AN19" i="1"/>
  <c r="AP30" i="1"/>
  <c r="AP20" i="1"/>
  <c r="AP24" i="1"/>
  <c r="AU20" i="1"/>
  <c r="AU30" i="1"/>
  <c r="AU24" i="1"/>
  <c r="AI35" i="1"/>
  <c r="AI10" i="1"/>
  <c r="AM10" i="1"/>
  <c r="AM35" i="1"/>
  <c r="AD19" i="1"/>
  <c r="AT15" i="1"/>
  <c r="AT19" i="1"/>
  <c r="AN10" i="1"/>
  <c r="AN35" i="1"/>
  <c r="AO10" i="1"/>
  <c r="AO35" i="1"/>
  <c r="AP19" i="1"/>
  <c r="AP15" i="1"/>
  <c r="AN24" i="1"/>
  <c r="AN20" i="1"/>
  <c r="AN30" i="1"/>
  <c r="AJ30" i="1"/>
  <c r="AJ20" i="1"/>
  <c r="AJ24" i="1"/>
  <c r="AF10" i="1"/>
  <c r="AF35" i="1"/>
  <c r="AR35" i="1"/>
  <c r="AR10" i="1"/>
  <c r="AE19" i="1"/>
  <c r="AR30" i="1"/>
  <c r="AR20" i="1"/>
  <c r="AR24" i="1"/>
  <c r="AC20" i="1"/>
  <c r="AC24" i="1"/>
  <c r="AC30" i="1"/>
  <c r="AK10" i="1"/>
  <c r="AK35" i="1"/>
  <c r="AT35" i="1"/>
  <c r="AT10" i="1"/>
  <c r="AK19" i="1"/>
  <c r="AD20" i="1"/>
  <c r="AD24" i="1"/>
  <c r="AD30" i="1"/>
  <c r="AS35" i="1"/>
  <c r="AS10" i="1"/>
  <c r="AR19" i="1"/>
  <c r="AR15" i="1"/>
  <c r="AK24" i="1"/>
  <c r="AK20" i="1"/>
  <c r="AK30" i="1"/>
  <c r="AS30" i="1"/>
  <c r="AS20" i="1"/>
  <c r="AS24" i="1"/>
  <c r="AU10" i="1"/>
  <c r="AU35" i="1"/>
  <c r="AC19" i="1"/>
  <c r="AI19" i="1"/>
  <c r="AF30" i="1"/>
  <c r="AF20" i="1"/>
  <c r="AF24" i="1"/>
  <c r="AM24" i="1"/>
  <c r="AM30" i="1"/>
  <c r="AM20" i="1"/>
  <c r="AC10" i="1"/>
  <c r="AC35" i="1"/>
  <c r="AJ19" i="1"/>
  <c r="AO19" i="1"/>
  <c r="AH30" i="1"/>
  <c r="AH20" i="1"/>
  <c r="AH24" i="1"/>
  <c r="O14" i="1"/>
  <c r="AK34" i="1" s="1"/>
  <c r="I14" i="1"/>
  <c r="AE34" i="1" s="1"/>
  <c r="W14" i="1"/>
  <c r="AS34" i="1" s="1"/>
  <c r="Q14" i="1"/>
  <c r="AM34" i="1" s="1"/>
  <c r="J14" i="1"/>
  <c r="AF34" i="1" s="1"/>
  <c r="H14" i="1"/>
  <c r="AD34" i="1" s="1"/>
  <c r="V14" i="1"/>
  <c r="AR34" i="1" s="1"/>
  <c r="S14" i="1"/>
  <c r="AO34" i="1" s="1"/>
  <c r="M14" i="1"/>
  <c r="AI34" i="1" s="1"/>
  <c r="Y14" i="1"/>
  <c r="AU34" i="1" s="1"/>
  <c r="X14" i="1"/>
  <c r="AT34" i="1" s="1"/>
  <c r="R14" i="1"/>
  <c r="AN34" i="1" s="1"/>
  <c r="L14" i="1"/>
  <c r="AH34" i="1" s="1"/>
  <c r="T14" i="1"/>
  <c r="AP34" i="1" s="1"/>
  <c r="N14" i="1"/>
  <c r="AJ34" i="1" s="1"/>
  <c r="X9" i="1"/>
  <c r="R9" i="1"/>
  <c r="O9" i="1"/>
  <c r="M9" i="1"/>
  <c r="J9" i="1"/>
  <c r="H9" i="1"/>
  <c r="S9" i="1"/>
  <c r="Q9" i="1"/>
  <c r="N9" i="1"/>
  <c r="L9" i="1"/>
  <c r="I9" i="1"/>
  <c r="Y9" i="1"/>
  <c r="C15" i="1"/>
  <c r="G15" i="1" s="1"/>
  <c r="AT18" i="1" l="1"/>
  <c r="AT21" i="1" s="1"/>
  <c r="AU16" i="1"/>
  <c r="AU21" i="1"/>
  <c r="AT33" i="1"/>
  <c r="AU36" i="1"/>
  <c r="AT8" i="1"/>
  <c r="AT11" i="1" s="1"/>
  <c r="AU11" i="1"/>
  <c r="AU26" i="1"/>
  <c r="AT23" i="1"/>
  <c r="AT28" i="1"/>
  <c r="AU31" i="1"/>
  <c r="AT16" i="1"/>
  <c r="X15" i="1"/>
  <c r="R15" i="1"/>
  <c r="L15" i="1"/>
  <c r="Y15" i="1"/>
  <c r="S15" i="1"/>
  <c r="M15" i="1"/>
  <c r="O15" i="1"/>
  <c r="I15" i="1"/>
  <c r="W15" i="1"/>
  <c r="Q15" i="1"/>
  <c r="J15" i="1"/>
  <c r="H15" i="1"/>
  <c r="V15" i="1"/>
  <c r="T15" i="1"/>
  <c r="N15" i="1"/>
  <c r="AS18" i="1" l="1"/>
  <c r="AS8" i="1"/>
  <c r="AT31" i="1"/>
  <c r="AS28" i="1"/>
  <c r="AT26" i="1"/>
  <c r="AS23" i="1"/>
  <c r="AS21" i="1"/>
  <c r="AR18" i="1"/>
  <c r="AS16" i="1"/>
  <c r="AS33" i="1"/>
  <c r="AT36" i="1"/>
  <c r="AR8" i="1" l="1"/>
  <c r="AS11" i="1"/>
  <c r="AP18" i="1"/>
  <c r="AR21" i="1"/>
  <c r="AR23" i="1"/>
  <c r="AS26" i="1"/>
  <c r="AR28" i="1"/>
  <c r="AS31" i="1"/>
  <c r="AR33" i="1"/>
  <c r="AS36" i="1"/>
  <c r="AR16" i="1"/>
  <c r="AP8" i="1" l="1"/>
  <c r="AR11" i="1"/>
  <c r="AP33" i="1"/>
  <c r="AR36" i="1"/>
  <c r="AR31" i="1"/>
  <c r="AP28" i="1"/>
  <c r="AP23" i="1"/>
  <c r="AR26" i="1"/>
  <c r="BA19" i="1"/>
  <c r="AP21" i="1"/>
  <c r="AO18" i="1"/>
  <c r="BA14" i="1"/>
  <c r="AP16" i="1"/>
  <c r="AO8" i="1" l="1"/>
  <c r="BA9" i="1"/>
  <c r="AP11" i="1"/>
  <c r="AO21" i="1"/>
  <c r="AN18" i="1"/>
  <c r="AO23" i="1"/>
  <c r="BA24" i="1"/>
  <c r="AP26" i="1"/>
  <c r="AP31" i="1"/>
  <c r="AO28" i="1"/>
  <c r="BA29" i="1"/>
  <c r="AP36" i="1"/>
  <c r="AO33" i="1"/>
  <c r="BA34" i="1"/>
  <c r="AO16" i="1"/>
  <c r="AN8" i="1" l="1"/>
  <c r="AO11" i="1"/>
  <c r="AN23" i="1"/>
  <c r="AO26" i="1"/>
  <c r="AO36" i="1"/>
  <c r="AN33" i="1"/>
  <c r="AN21" i="1"/>
  <c r="AM18" i="1"/>
  <c r="AN28" i="1"/>
  <c r="AO31" i="1"/>
  <c r="AN16" i="1"/>
  <c r="AN11" i="1" l="1"/>
  <c r="AM8" i="1"/>
  <c r="AM28" i="1"/>
  <c r="AN31" i="1"/>
  <c r="AK18" i="1"/>
  <c r="AM21" i="1"/>
  <c r="AM33" i="1"/>
  <c r="AN36" i="1"/>
  <c r="AM16" i="1"/>
  <c r="AM23" i="1"/>
  <c r="AN26" i="1"/>
  <c r="AM11" i="1" l="1"/>
  <c r="AK8" i="1"/>
  <c r="AK16" i="1"/>
  <c r="AM36" i="1"/>
  <c r="AK33" i="1"/>
  <c r="AJ18" i="1"/>
  <c r="AK21" i="1"/>
  <c r="AK28" i="1"/>
  <c r="AM31" i="1"/>
  <c r="AK23" i="1"/>
  <c r="AM26" i="1"/>
  <c r="AK11" i="1" l="1"/>
  <c r="AJ8" i="1"/>
  <c r="AJ28" i="1"/>
  <c r="AK31" i="1"/>
  <c r="AI18" i="1"/>
  <c r="AJ21" i="1"/>
  <c r="AK36" i="1"/>
  <c r="AJ33" i="1"/>
  <c r="AJ23" i="1"/>
  <c r="AK26" i="1"/>
  <c r="AJ16" i="1"/>
  <c r="AJ11" i="1" l="1"/>
  <c r="AI8" i="1"/>
  <c r="AJ26" i="1"/>
  <c r="AI23" i="1"/>
  <c r="AI33" i="1"/>
  <c r="AJ36" i="1"/>
  <c r="AH18" i="1"/>
  <c r="AI21" i="1"/>
  <c r="AI28" i="1"/>
  <c r="AJ31" i="1"/>
  <c r="AI16" i="1"/>
  <c r="AI11" i="1" l="1"/>
  <c r="AH8" i="1"/>
  <c r="AH16" i="1"/>
  <c r="AH28" i="1"/>
  <c r="AI31" i="1"/>
  <c r="AF18" i="1"/>
  <c r="AH21" i="1"/>
  <c r="AH33" i="1"/>
  <c r="AI36" i="1"/>
  <c r="AH23" i="1"/>
  <c r="AI26" i="1"/>
  <c r="AF8" i="1" l="1"/>
  <c r="AH11" i="1"/>
  <c r="AH26" i="1"/>
  <c r="AF23" i="1"/>
  <c r="AF33" i="1"/>
  <c r="AH36" i="1"/>
  <c r="AE18" i="1"/>
  <c r="AF21" i="1"/>
  <c r="AF28" i="1"/>
  <c r="AH31" i="1"/>
  <c r="AF16" i="1"/>
  <c r="AE8" i="1" l="1"/>
  <c r="AF11" i="1"/>
  <c r="AE16" i="1"/>
  <c r="AF31" i="1"/>
  <c r="AE28" i="1"/>
  <c r="AE21" i="1"/>
  <c r="AD18" i="1"/>
  <c r="AE33" i="1"/>
  <c r="AF36" i="1"/>
  <c r="AF26" i="1"/>
  <c r="AE23" i="1"/>
  <c r="AD8" i="1" l="1"/>
  <c r="AE11" i="1"/>
  <c r="AD33" i="1"/>
  <c r="AE36" i="1"/>
  <c r="AC18" i="1"/>
  <c r="AY19" i="1" s="1"/>
  <c r="AD21" i="1"/>
  <c r="AE31" i="1"/>
  <c r="AD28" i="1"/>
  <c r="AD16" i="1"/>
  <c r="AZ12" i="1" s="1"/>
  <c r="AZ14" i="1" s="1"/>
  <c r="AE26" i="1"/>
  <c r="AD23" i="1"/>
  <c r="AC8" i="1" l="1"/>
  <c r="AD11" i="1"/>
  <c r="AZ7" i="1" s="1"/>
  <c r="AZ9" i="1" s="1"/>
  <c r="BD14" i="1"/>
  <c r="AC16" i="1"/>
  <c r="AY14" i="1"/>
  <c r="AD31" i="1"/>
  <c r="AZ27" i="1" s="1"/>
  <c r="AZ29" i="1" s="1"/>
  <c r="AC28" i="1"/>
  <c r="BB19" i="1"/>
  <c r="AZ17" i="1"/>
  <c r="AZ19" i="1" s="1"/>
  <c r="AC23" i="1"/>
  <c r="AY24" i="1" s="1"/>
  <c r="AD26" i="1"/>
  <c r="AZ22" i="1" s="1"/>
  <c r="AZ24" i="1" s="1"/>
  <c r="AC21" i="1"/>
  <c r="BD19" i="1"/>
  <c r="AD36" i="1"/>
  <c r="AZ32" i="1" s="1"/>
  <c r="AZ34" i="1" s="1"/>
  <c r="AC33" i="1"/>
  <c r="BD9" i="1" l="1"/>
  <c r="AY9" i="1"/>
  <c r="AC11" i="1"/>
  <c r="BD24" i="1"/>
  <c r="AC26" i="1"/>
  <c r="BD29" i="1"/>
  <c r="AC31" i="1"/>
  <c r="AY29" i="1"/>
  <c r="AY34" i="1"/>
  <c r="AC36" i="1"/>
  <c r="AW36" i="1" s="1"/>
  <c r="BD34" i="1"/>
  <c r="BB14" i="1"/>
  <c r="BC14" i="1"/>
  <c r="BC19" i="1"/>
  <c r="BB9" i="1" l="1"/>
  <c r="BC9" i="1"/>
  <c r="BB34" i="1"/>
  <c r="BC34" i="1"/>
  <c r="AW31" i="1"/>
  <c r="BC29" i="1"/>
  <c r="BB29" i="1"/>
  <c r="BB24" i="1"/>
  <c r="AW26" i="1"/>
  <c r="BC24" i="1"/>
</calcChain>
</file>

<file path=xl/sharedStrings.xml><?xml version="1.0" encoding="utf-8"?>
<sst xmlns="http://schemas.openxmlformats.org/spreadsheetml/2006/main" count="161" uniqueCount="72">
  <si>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</si>
  <si>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</si>
  <si>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</si>
  <si>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</si>
  <si>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</si>
  <si>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</si>
  <si>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</si>
  <si>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</si>
  <si>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</si>
  <si>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</si>
  <si>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</si>
  <si>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</si>
  <si>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A =</t>
  </si>
  <si>
    <t xml:space="preserve">C = </t>
  </si>
  <si>
    <t>C =</t>
  </si>
  <si>
    <t>A+C =</t>
  </si>
  <si>
    <t>A+C+C =</t>
  </si>
  <si>
    <t>C-A =</t>
  </si>
  <si>
    <t>65536-X4 =</t>
  </si>
  <si>
    <t>-X1 =</t>
  </si>
  <si>
    <t>-X2 =</t>
  </si>
  <si>
    <t>-X3 =</t>
  </si>
  <si>
    <t>-X4 =</t>
  </si>
  <si>
    <t>-X5 =</t>
  </si>
  <si>
    <t>-X6 =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</si>
  <si>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</si>
  <si>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</si>
  <si>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</si>
  <si>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</si>
  <si>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</si>
  <si>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</si>
  <si>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</si>
  <si>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</si>
  <si>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</si>
  <si>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</si>
  <si>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</si>
  <si>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</si>
  <si>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-B1 =</t>
  </si>
  <si>
    <t>-B2 =</t>
  </si>
  <si>
    <t>-B3 =</t>
  </si>
  <si>
    <t>-B4 =</t>
  </si>
  <si>
    <t>-B5 =</t>
  </si>
  <si>
    <t>-B6 =</t>
  </si>
  <si>
    <t>.</t>
  </si>
  <si>
    <t>ОДЗ</t>
  </si>
  <si>
    <t>[2^14;2^14-1]=[16384;16383]</t>
  </si>
  <si>
    <t>1)</t>
  </si>
  <si>
    <t>B1(2)=</t>
  </si>
  <si>
    <t>B2(2)=</t>
  </si>
  <si>
    <t xml:space="preserve">   =</t>
  </si>
  <si>
    <t>2)</t>
  </si>
  <si>
    <t>B3(2)=</t>
  </si>
  <si>
    <t>B7(2)=</t>
  </si>
  <si>
    <t xml:space="preserve">  =</t>
  </si>
  <si>
    <t>3)</t>
  </si>
  <si>
    <t>4)</t>
  </si>
  <si>
    <t>B8(2)=</t>
  </si>
  <si>
    <t>B9(2)=</t>
  </si>
  <si>
    <t>5)</t>
  </si>
  <si>
    <t>6)</t>
  </si>
  <si>
    <t>7)</t>
  </si>
  <si>
    <t>B11(2)=</t>
  </si>
  <si>
    <t>ФЛАГИ:</t>
  </si>
  <si>
    <t>CF</t>
  </si>
  <si>
    <t>PF</t>
  </si>
  <si>
    <t>AF</t>
  </si>
  <si>
    <t>ZF</t>
  </si>
  <si>
    <t>SF</t>
  </si>
  <si>
    <t>OF</t>
  </si>
  <si>
    <t>СF</t>
  </si>
  <si>
    <t>Результат некорректен</t>
  </si>
  <si>
    <t>Результат корректен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</si>
</sst>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4"/>
      <color rgb="FF24292F"/>
      <name val="Menlo"/>
      <family val="2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sz val="12"/>
      <color theme="4"/>
      <name val="Calibri"/>
      <family val="2"/>
      <charset val="204"/>
      <scheme val="minor"/>
    </font>
    <font>
      <sz val="12"/>
      <color theme="9" tint="-0.24997711111789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21EE-E175-8B41-9D49-F1B52F130D91}">
  <sheetPr codeName="Лист1"/>
  <dimension ref="A1:BL36"/>
  <sheetViews>
    <sheetView tabSelected="1" view="pageLayout" topLeftCell="Z1" zoomScale="75" zoomScaleNormal="50" zoomScalePageLayoutView="75" workbookViewId="0">
      <selection activeCell="AW21" sqref="AW21"/>
    </sheetView>
  </sheetViews>
  <sheetFormatPr baseColWidth="10" defaultRowHeight="16" x14ac:dyDescent="0.2"/>
  <cols>
    <col min="6" max="6" width="18" customWidth="1"/>
    <col min="7" max="19" width="3.1640625" customWidth="1"/>
    <col min="20" max="20" width="3" customWidth="1"/>
    <col min="21" max="25" width="3.1640625" customWidth="1"/>
    <col min="27" max="27" width="2.83203125" customWidth="1"/>
    <col min="29" max="32" width="3.1640625" customWidth="1"/>
    <col min="33" max="35" width="3" customWidth="1"/>
    <col min="36" max="36" width="3.1640625" customWidth="1"/>
    <col min="37" max="38" width="3" customWidth="1"/>
    <col min="39" max="40" width="3.1640625" customWidth="1"/>
    <col min="41" max="41" width="3" customWidth="1"/>
    <col min="42" max="42" width="3.1640625" customWidth="1"/>
    <col min="43" max="43" width="3" customWidth="1"/>
    <col min="44" max="46" width="3.1640625" customWidth="1"/>
    <col min="47" max="47" width="3" customWidth="1"/>
    <col min="48" max="48" width="5.1640625" customWidth="1"/>
  </cols>
  <sheetData>
    <row r="1" spans="1:64" x14ac:dyDescent="0.2">
      <c r="B1" t="s">
        <v>12</v>
      </c>
      <c r="C1">
        <v>4207</v>
      </c>
    </row>
    <row r="2" spans="1:64" x14ac:dyDescent="0.2">
      <c r="B2" t="s">
        <v>13</v>
      </c>
      <c r="C2">
        <v>14708</v>
      </c>
      <c r="AY2" t="s">
        <v>62</v>
      </c>
      <c r="AZ2" s="3">
        <f>COUNTIF(AD6:AU6,1)</f>
        <v>5</v>
      </c>
      <c r="BA2" s="3"/>
      <c r="BB2" s="3"/>
      <c r="BC2" s="3"/>
      <c r="BD2" s="3"/>
    </row>
    <row r="3" spans="1:64" x14ac:dyDescent="0.2">
      <c r="AA3" t="s">
        <v>46</v>
      </c>
      <c r="AB3" t="s">
        <v>47</v>
      </c>
      <c r="AC3" s="5">
        <f>IF(AD3+AD4+AD5&gt;=2,1,0)</f>
        <v>0</v>
      </c>
      <c r="AD3" s="5">
        <f>IF(AE3+AE4+AE5&gt;=2,1,0)</f>
        <v>0</v>
      </c>
      <c r="AE3" s="5">
        <f>IF(AF3+AF4+AF5&gt;=2,1,0)</f>
        <v>0</v>
      </c>
      <c r="AF3" s="5">
        <f>IF(AH3+AH4+AH5&gt;=2,1,0)</f>
        <v>0</v>
      </c>
      <c r="AH3" s="5">
        <f>IF(AI3+AI4+AI5&gt;=2,1,0)</f>
        <v>0</v>
      </c>
      <c r="AI3" s="5">
        <f>IF(AJ3+AJ4+AJ5&gt;=2,1,0)</f>
        <v>0</v>
      </c>
      <c r="AJ3" s="5">
        <f>IF(AK3+AK4+AK5&gt;=2,1,0)</f>
        <v>0</v>
      </c>
      <c r="AK3" s="5">
        <f>IF(AM3+AM4+AM5&gt;=2,1,0)</f>
        <v>1</v>
      </c>
      <c r="AM3" s="5">
        <f>IF(AN3+AN4+AN5&gt;=2,1,0)</f>
        <v>0</v>
      </c>
      <c r="AN3" s="5">
        <f>IF(AO3+AO4+AO5&gt;=2,1,0)</f>
        <v>1</v>
      </c>
      <c r="AO3" s="5">
        <f>IF(AP3+AP4+AP5&gt;=2,1,0)</f>
        <v>0</v>
      </c>
      <c r="AP3" s="5">
        <f>IF(AR3+AR4+AR5&gt;=2,1,0)</f>
        <v>0</v>
      </c>
      <c r="AQ3" s="5"/>
      <c r="AR3" s="5">
        <f>IF(AS4+AS5+AS3&gt;=2,1,0)</f>
        <v>0</v>
      </c>
      <c r="AS3" s="5">
        <f>IF(AT4+AT5=AT3&gt;=2,1,0)</f>
        <v>1</v>
      </c>
      <c r="AT3" s="5">
        <f>IF(AU4+AU5&gt;=2,1,0)</f>
        <v>1</v>
      </c>
      <c r="AY3" s="7" t="s">
        <v>69</v>
      </c>
      <c r="AZ3" s="7" t="s">
        <v>64</v>
      </c>
      <c r="BA3" s="7" t="s">
        <v>65</v>
      </c>
      <c r="BB3" s="7" t="s">
        <v>66</v>
      </c>
      <c r="BC3" s="7" t="s">
        <v>67</v>
      </c>
      <c r="BD3" s="7" t="s">
        <v>68</v>
      </c>
      <c r="BF3">
        <f>C4</f>
        <v>1203</v>
      </c>
      <c r="BG3">
        <v>1364</v>
      </c>
      <c r="BH3" s="10" t="s">
        <v>71</v>
      </c>
      <c r="BI3" s="10"/>
      <c r="BJ3" s="10"/>
      <c r="BK3" s="10"/>
      <c r="BL3" s="10"/>
    </row>
    <row r="4" spans="1:64" x14ac:dyDescent="0.2">
      <c r="A4" t="s">
        <v>0</v>
      </c>
      <c r="B4" t="s">
        <v>12</v>
      </c>
      <c r="C4">
        <v>1203</v>
      </c>
      <c r="E4" t="s">
        <v>25</v>
      </c>
      <c r="G4">
        <f>MOD(QUOTIENT(C4,32768),2)</f>
        <v>0</v>
      </c>
      <c r="H4">
        <f>MOD(QUOTIENT(C4,16384),2)</f>
        <v>0</v>
      </c>
      <c r="I4">
        <f>MOD(QUOTIENT(C4,8192),2)</f>
        <v>0</v>
      </c>
      <c r="J4">
        <f>MOD(QUOTIENT(C4,4096),2)</f>
        <v>0</v>
      </c>
      <c r="K4" t="s">
        <v>43</v>
      </c>
      <c r="L4">
        <f>MOD(QUOTIENT(C4,2048),2)</f>
        <v>0</v>
      </c>
      <c r="M4">
        <f>MOD(QUOTIENT(C4,1024),2)</f>
        <v>1</v>
      </c>
      <c r="N4">
        <f>MOD(QUOTIENT(C4,512),2)</f>
        <v>0</v>
      </c>
      <c r="O4">
        <f>MOD(QUOTIENT(C4,256),2)</f>
        <v>0</v>
      </c>
      <c r="P4" t="s">
        <v>43</v>
      </c>
      <c r="Q4">
        <f>MOD(QUOTIENT(C4,128),2)</f>
        <v>1</v>
      </c>
      <c r="R4">
        <f>MOD(QUOTIENT(C4,64),2)</f>
        <v>0</v>
      </c>
      <c r="S4">
        <f>MOD(QUOTIENT(C4,32),2)</f>
        <v>1</v>
      </c>
      <c r="T4">
        <f>MOD(QUOTIENT(C4,16),2)</f>
        <v>1</v>
      </c>
      <c r="U4" t="s">
        <v>43</v>
      </c>
      <c r="V4">
        <f>MOD(QUOTIENT(C4,8),2)</f>
        <v>0</v>
      </c>
      <c r="W4">
        <f>MOD(QUOTIENT(C4,4),2)</f>
        <v>0</v>
      </c>
      <c r="X4">
        <f>MOD(QUOTIENT(C4,2),2)</f>
        <v>1</v>
      </c>
      <c r="Y4">
        <f>MOD(C4,2)</f>
        <v>1</v>
      </c>
      <c r="AB4" t="s">
        <v>48</v>
      </c>
      <c r="AC4">
        <f t="shared" ref="AC4:AH5" si="0">G4</f>
        <v>0</v>
      </c>
      <c r="AD4">
        <f t="shared" si="0"/>
        <v>0</v>
      </c>
      <c r="AE4">
        <f t="shared" si="0"/>
        <v>0</v>
      </c>
      <c r="AF4">
        <f t="shared" si="0"/>
        <v>0</v>
      </c>
      <c r="AG4" t="str">
        <f t="shared" si="0"/>
        <v>.</v>
      </c>
      <c r="AH4">
        <f t="shared" si="0"/>
        <v>0</v>
      </c>
      <c r="AI4">
        <f t="shared" ref="AI4:AU4" si="1">M4</f>
        <v>1</v>
      </c>
      <c r="AJ4">
        <f t="shared" si="1"/>
        <v>0</v>
      </c>
      <c r="AK4">
        <f t="shared" si="1"/>
        <v>0</v>
      </c>
      <c r="AL4" t="str">
        <f t="shared" si="1"/>
        <v>.</v>
      </c>
      <c r="AM4">
        <f t="shared" si="1"/>
        <v>1</v>
      </c>
      <c r="AN4">
        <f t="shared" si="1"/>
        <v>0</v>
      </c>
      <c r="AO4">
        <f t="shared" si="1"/>
        <v>1</v>
      </c>
      <c r="AP4">
        <f t="shared" si="1"/>
        <v>1</v>
      </c>
      <c r="AQ4" t="str">
        <f t="shared" si="1"/>
        <v>.</v>
      </c>
      <c r="AR4">
        <f t="shared" si="1"/>
        <v>0</v>
      </c>
      <c r="AS4">
        <f t="shared" si="1"/>
        <v>0</v>
      </c>
      <c r="AT4">
        <f t="shared" si="1"/>
        <v>1</v>
      </c>
      <c r="AU4">
        <f t="shared" si="1"/>
        <v>1</v>
      </c>
      <c r="AY4" s="8">
        <f>IF(AC3+AC4&gt;=1,1,0)</f>
        <v>0</v>
      </c>
      <c r="AZ4" s="8">
        <f>IF(MOD(AZ2,2)=0,1,0)</f>
        <v>0</v>
      </c>
      <c r="BA4" s="8">
        <f>AP3</f>
        <v>0</v>
      </c>
      <c r="BB4" s="8">
        <f>IF(SUM(AC6:AU6)=0,1,0)</f>
        <v>0</v>
      </c>
      <c r="BC4" s="8">
        <f>AC6</f>
        <v>0</v>
      </c>
      <c r="BD4" s="8">
        <f>IF(AND(AC4=AC5,AC4&lt;&gt;AC6),1,0)</f>
        <v>0</v>
      </c>
      <c r="BF4">
        <f>C5</f>
        <v>161</v>
      </c>
      <c r="BH4" s="10"/>
      <c r="BI4" s="10"/>
      <c r="BJ4" s="10"/>
      <c r="BK4" s="10"/>
      <c r="BL4" s="10"/>
    </row>
    <row r="5" spans="1:64" x14ac:dyDescent="0.2">
      <c r="A5" t="s">
        <v>1</v>
      </c>
      <c r="B5" t="s">
        <v>14</v>
      </c>
      <c r="C5">
        <v>161</v>
      </c>
      <c r="E5" t="s">
        <v>26</v>
      </c>
      <c r="G5">
        <f t="shared" ref="G5:G8" si="2">MOD(QUOTIENT(C5,32768),2)</f>
        <v>0</v>
      </c>
      <c r="H5">
        <f>MOD(QUOTIENT(C5,16384),2)</f>
        <v>0</v>
      </c>
      <c r="I5">
        <f t="shared" ref="I5:I9" si="3">MOD(QUOTIENT(C5,8192),2)</f>
        <v>0</v>
      </c>
      <c r="J5">
        <f t="shared" ref="J5:J9" si="4">MOD(QUOTIENT(C5,4096),2)</f>
        <v>0</v>
      </c>
      <c r="K5" t="s">
        <v>43</v>
      </c>
      <c r="L5">
        <f t="shared" ref="L5:L9" si="5">MOD(QUOTIENT(C5,2048),2)</f>
        <v>0</v>
      </c>
      <c r="M5">
        <f t="shared" ref="M5:M9" si="6">MOD(QUOTIENT(C5,1024),2)</f>
        <v>0</v>
      </c>
      <c r="N5">
        <f t="shared" ref="N5:N9" si="7">MOD(QUOTIENT(C5,512),2)</f>
        <v>0</v>
      </c>
      <c r="O5">
        <f t="shared" ref="O5:O9" si="8">MOD(QUOTIENT(C5,256),2)</f>
        <v>0</v>
      </c>
      <c r="P5" t="s">
        <v>43</v>
      </c>
      <c r="Q5">
        <f t="shared" ref="Q5:Q9" si="9">MOD(QUOTIENT(C5,128),2)</f>
        <v>1</v>
      </c>
      <c r="R5">
        <f t="shared" ref="R5:R9" si="10">MOD(QUOTIENT(C5,64),2)</f>
        <v>0</v>
      </c>
      <c r="S5">
        <f t="shared" ref="S5:T9" si="11">MOD(QUOTIENT(C5,32),2)</f>
        <v>1</v>
      </c>
      <c r="T5">
        <f>MOD(QUOTIENT(C5,16),2)</f>
        <v>0</v>
      </c>
      <c r="U5" t="s">
        <v>43</v>
      </c>
      <c r="V5">
        <f t="shared" ref="V5:V8" si="12">MOD(QUOTIENT(C5,8),2)</f>
        <v>0</v>
      </c>
      <c r="W5">
        <f t="shared" ref="W5:W8" si="13">MOD(QUOTIENT(C5,4),2)</f>
        <v>0</v>
      </c>
      <c r="X5">
        <f t="shared" ref="X5:X9" si="14">MOD(QUOTIENT(C5,2),2)</f>
        <v>0</v>
      </c>
      <c r="Y5">
        <f t="shared" ref="Y5:Y9" si="15">MOD(C5,2)</f>
        <v>1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 t="str">
        <f t="shared" si="0"/>
        <v>.</v>
      </c>
      <c r="AH5" s="4">
        <f t="shared" si="0"/>
        <v>0</v>
      </c>
      <c r="AI5" s="4">
        <f t="shared" ref="AI5" si="16">M5</f>
        <v>0</v>
      </c>
      <c r="AJ5" s="4">
        <f t="shared" ref="AJ5" si="17">N5</f>
        <v>0</v>
      </c>
      <c r="AK5" s="4">
        <f t="shared" ref="AK5" si="18">O5</f>
        <v>0</v>
      </c>
      <c r="AL5" s="4" t="str">
        <f t="shared" ref="AL5" si="19">P5</f>
        <v>.</v>
      </c>
      <c r="AM5" s="4">
        <f t="shared" ref="AM5" si="20">Q5</f>
        <v>1</v>
      </c>
      <c r="AN5" s="4">
        <f t="shared" ref="AN5" si="21">R5</f>
        <v>0</v>
      </c>
      <c r="AO5" s="4">
        <f t="shared" ref="AO5" si="22">S5</f>
        <v>1</v>
      </c>
      <c r="AP5" s="4">
        <f t="shared" ref="AP5" si="23">T5</f>
        <v>0</v>
      </c>
      <c r="AQ5" s="4" t="str">
        <f t="shared" ref="AQ5" si="24">U5</f>
        <v>.</v>
      </c>
      <c r="AR5" s="4">
        <f t="shared" ref="AR5" si="25">V5</f>
        <v>0</v>
      </c>
      <c r="AS5" s="4">
        <f t="shared" ref="AS5" si="26">W5</f>
        <v>0</v>
      </c>
      <c r="AT5" s="4">
        <f t="shared" ref="AT5" si="27">X5</f>
        <v>0</v>
      </c>
      <c r="AU5" s="4">
        <f t="shared" ref="AU5" si="28">Y5</f>
        <v>1</v>
      </c>
      <c r="BH5" s="10"/>
      <c r="BI5" s="10"/>
      <c r="BJ5" s="10"/>
      <c r="BK5" s="10"/>
      <c r="BL5" s="10"/>
    </row>
    <row r="6" spans="1:64" x14ac:dyDescent="0.2">
      <c r="A6" t="s">
        <v>2</v>
      </c>
      <c r="B6" t="s">
        <v>15</v>
      </c>
      <c r="C6">
        <f>C4+C5</f>
        <v>1364</v>
      </c>
      <c r="E6" t="s">
        <v>27</v>
      </c>
      <c r="G6">
        <f t="shared" si="2"/>
        <v>0</v>
      </c>
      <c r="H6">
        <f t="shared" ref="H6:H9" si="29">MOD(QUOTIENT(C6,16384),2)</f>
        <v>0</v>
      </c>
      <c r="I6">
        <f t="shared" si="3"/>
        <v>0</v>
      </c>
      <c r="J6">
        <f t="shared" si="4"/>
        <v>0</v>
      </c>
      <c r="K6" t="s">
        <v>43</v>
      </c>
      <c r="L6">
        <f>MOD(QUOTIENT(C6,2048),2)</f>
        <v>0</v>
      </c>
      <c r="M6">
        <f>MOD(QUOTIENT(C6,1024),2)</f>
        <v>1</v>
      </c>
      <c r="N6">
        <f>MOD(QUOTIENT(C6,512),2)</f>
        <v>0</v>
      </c>
      <c r="O6">
        <f>MOD(QUOTIENT(C6,256),2)</f>
        <v>1</v>
      </c>
      <c r="P6" t="s">
        <v>43</v>
      </c>
      <c r="Q6">
        <f>MOD(QUOTIENT(C6,128),2)</f>
        <v>0</v>
      </c>
      <c r="R6">
        <f>MOD(QUOTIENT(C6,64),2)</f>
        <v>1</v>
      </c>
      <c r="S6">
        <f>MOD(QUOTIENT(C6,32),2)</f>
        <v>0</v>
      </c>
      <c r="T6">
        <f>MOD(QUOTIENT(C6,16),2)</f>
        <v>1</v>
      </c>
      <c r="U6" t="s">
        <v>43</v>
      </c>
      <c r="V6">
        <f t="shared" si="12"/>
        <v>0</v>
      </c>
      <c r="W6">
        <f t="shared" si="13"/>
        <v>1</v>
      </c>
      <c r="X6">
        <f t="shared" si="14"/>
        <v>0</v>
      </c>
      <c r="Y6">
        <f t="shared" si="15"/>
        <v>0</v>
      </c>
      <c r="AC6">
        <f>MOD(AC3+AC4+AC5,2)</f>
        <v>0</v>
      </c>
      <c r="AD6">
        <f t="shared" ref="AD6:AF6" si="30">MOD(AD3+AD4+AD5,2)</f>
        <v>0</v>
      </c>
      <c r="AE6">
        <f t="shared" si="30"/>
        <v>0</v>
      </c>
      <c r="AF6">
        <f t="shared" si="30"/>
        <v>0</v>
      </c>
      <c r="AH6">
        <f>MOD(AH3+AH4+AH5,2)</f>
        <v>0</v>
      </c>
      <c r="AI6">
        <f t="shared" ref="AI6:AK6" si="31">MOD(AI3+AI4+AI5,2)</f>
        <v>1</v>
      </c>
      <c r="AJ6">
        <f t="shared" si="31"/>
        <v>0</v>
      </c>
      <c r="AK6">
        <f t="shared" si="31"/>
        <v>1</v>
      </c>
      <c r="AM6">
        <f>MOD(AM3+AM4+AM5,2)</f>
        <v>0</v>
      </c>
      <c r="AN6">
        <f t="shared" ref="AN6:AP6" si="32">MOD(AN3+AN4+AN5,2)</f>
        <v>1</v>
      </c>
      <c r="AO6">
        <f t="shared" si="32"/>
        <v>0</v>
      </c>
      <c r="AP6">
        <f t="shared" si="32"/>
        <v>1</v>
      </c>
      <c r="AR6">
        <f>MOD(AR3+AR4+AR5,2)</f>
        <v>0</v>
      </c>
      <c r="AS6">
        <f t="shared" ref="AS6:AT6" si="33">MOD(AS3+AS4+AS5,2)</f>
        <v>1</v>
      </c>
      <c r="AT6">
        <f t="shared" si="33"/>
        <v>0</v>
      </c>
      <c r="AU6">
        <f>MOD(AU3+AU4+AU5,2)</f>
        <v>0</v>
      </c>
      <c r="AV6" t="s">
        <v>49</v>
      </c>
      <c r="AW6" s="9">
        <f>IF(AC6=0,(AU6+AT6*2+AS6*4+AR6*8+AP6*16+AO6*32+AN6*64+AM6*128+AK6*256+AJ6*512+AI6*1024+AH6*2048+AF6*4096+AE6*8192+AD6*16384),(MOD(AU6+1,2)+MOD(AT6+1,2)*2+MOD(AS6+1,2)*4+MOD(AR6+1,2)*8+MOD(AP6+1,2)*16+MOD(AO6+1,2)*32+MOD(AN6+1,2)*64+MOD(AM6+1,2)*128+MOD(AK6+1,2)*256+MOD(AJ6+1,2)*512+MOD(AI6+1,2)*1024+MOD(AH6+1,2)*2048+MOD(AF6+1,2)*4096+MOD(AE6+1,2)*8192+MOD(AD6+1,2)*16384)*-1-1)</f>
        <v>1364</v>
      </c>
      <c r="BH6" s="10"/>
      <c r="BI6" s="10"/>
      <c r="BJ6" s="10"/>
      <c r="BK6" s="10"/>
      <c r="BL6" s="10"/>
    </row>
    <row r="7" spans="1:64" x14ac:dyDescent="0.2">
      <c r="A7" t="s">
        <v>3</v>
      </c>
      <c r="B7" t="s">
        <v>16</v>
      </c>
      <c r="C7">
        <f>C4+C5+C5</f>
        <v>1525</v>
      </c>
      <c r="E7" t="s">
        <v>28</v>
      </c>
      <c r="G7">
        <f t="shared" si="2"/>
        <v>0</v>
      </c>
      <c r="H7">
        <f t="shared" si="29"/>
        <v>0</v>
      </c>
      <c r="I7">
        <f t="shared" si="3"/>
        <v>0</v>
      </c>
      <c r="J7">
        <f t="shared" si="4"/>
        <v>0</v>
      </c>
      <c r="K7" t="s">
        <v>43</v>
      </c>
      <c r="L7">
        <f t="shared" si="5"/>
        <v>0</v>
      </c>
      <c r="M7">
        <f t="shared" si="6"/>
        <v>1</v>
      </c>
      <c r="N7">
        <f t="shared" si="7"/>
        <v>0</v>
      </c>
      <c r="O7">
        <f t="shared" si="8"/>
        <v>1</v>
      </c>
      <c r="P7" t="s">
        <v>43</v>
      </c>
      <c r="Q7">
        <f t="shared" si="9"/>
        <v>1</v>
      </c>
      <c r="R7">
        <f t="shared" si="10"/>
        <v>1</v>
      </c>
      <c r="S7">
        <f t="shared" si="11"/>
        <v>1</v>
      </c>
      <c r="T7">
        <v>1</v>
      </c>
      <c r="U7" t="s">
        <v>43</v>
      </c>
      <c r="V7">
        <f t="shared" si="12"/>
        <v>0</v>
      </c>
      <c r="W7">
        <f t="shared" si="13"/>
        <v>1</v>
      </c>
      <c r="X7">
        <f t="shared" si="14"/>
        <v>0</v>
      </c>
      <c r="Y7">
        <f t="shared" si="15"/>
        <v>1</v>
      </c>
      <c r="AY7" s="3"/>
      <c r="AZ7" s="3">
        <f>COUNTIF(AD11:AU11,1)</f>
        <v>8</v>
      </c>
      <c r="BA7" s="3"/>
      <c r="BB7" s="3"/>
      <c r="BC7" s="3"/>
      <c r="BD7" s="3"/>
    </row>
    <row r="8" spans="1:64" x14ac:dyDescent="0.2">
      <c r="A8" t="s">
        <v>4</v>
      </c>
      <c r="B8" t="s">
        <v>17</v>
      </c>
      <c r="C8">
        <f>C5-C4</f>
        <v>-1042</v>
      </c>
      <c r="E8" t="s">
        <v>29</v>
      </c>
      <c r="G8">
        <f t="shared" si="2"/>
        <v>0</v>
      </c>
      <c r="H8">
        <f t="shared" si="29"/>
        <v>0</v>
      </c>
      <c r="I8">
        <f t="shared" si="3"/>
        <v>0</v>
      </c>
      <c r="J8">
        <f t="shared" si="4"/>
        <v>0</v>
      </c>
      <c r="K8" t="s">
        <v>43</v>
      </c>
      <c r="L8">
        <f t="shared" si="5"/>
        <v>0</v>
      </c>
      <c r="M8">
        <f t="shared" si="6"/>
        <v>1</v>
      </c>
      <c r="N8">
        <f t="shared" si="7"/>
        <v>0</v>
      </c>
      <c r="O8">
        <f t="shared" si="8"/>
        <v>0</v>
      </c>
      <c r="P8" t="s">
        <v>43</v>
      </c>
      <c r="Q8">
        <f t="shared" si="9"/>
        <v>0</v>
      </c>
      <c r="R8">
        <f t="shared" si="10"/>
        <v>0</v>
      </c>
      <c r="S8">
        <f t="shared" si="11"/>
        <v>0</v>
      </c>
      <c r="T8">
        <v>0</v>
      </c>
      <c r="U8" t="s">
        <v>43</v>
      </c>
      <c r="V8">
        <f t="shared" si="12"/>
        <v>0</v>
      </c>
      <c r="W8">
        <f t="shared" si="13"/>
        <v>0</v>
      </c>
      <c r="X8">
        <f t="shared" si="14"/>
        <v>1</v>
      </c>
      <c r="Y8">
        <f t="shared" si="15"/>
        <v>0</v>
      </c>
      <c r="AA8" t="s">
        <v>50</v>
      </c>
      <c r="AB8" t="s">
        <v>48</v>
      </c>
      <c r="AC8" s="5">
        <f>IF(AD8+AD9+AD10&gt;=2,1,0)</f>
        <v>0</v>
      </c>
      <c r="AD8" s="5">
        <f t="shared" ref="AD8" si="34">IF(AE8+AE9+AE10&gt;=2,1,0)</f>
        <v>0</v>
      </c>
      <c r="AE8" s="5">
        <f>IF(AF8+AF9+AF10&gt;=2,1,0)</f>
        <v>0</v>
      </c>
      <c r="AF8" s="5">
        <f>IF(AH8+AH9+AH10&gt;=2,1,0)</f>
        <v>0</v>
      </c>
      <c r="AH8" s="5">
        <f>IF(AI8+AI9+AI10&gt;=2,1,0)</f>
        <v>0</v>
      </c>
      <c r="AI8" s="5">
        <f>IF(AJ8+AJ9+AJ10&gt;=2,1,0)</f>
        <v>0</v>
      </c>
      <c r="AJ8" s="5">
        <f>IF(AK8+AK9+AK10&gt;=2,1,0)</f>
        <v>0</v>
      </c>
      <c r="AK8" s="5">
        <f>IF(AM8+AM9+AM10&gt;=2,1,0)</f>
        <v>0</v>
      </c>
      <c r="AM8" s="5">
        <f>IF(AN8+AN9+AN10&gt;=2,1,0)</f>
        <v>0</v>
      </c>
      <c r="AN8" s="5">
        <f>IF(AO8+AO9+AO10&gt;=2,1,0)</f>
        <v>0</v>
      </c>
      <c r="AO8" s="5">
        <f>IF(AP8+AP9+AP10&gt;=2,1,0)</f>
        <v>0</v>
      </c>
      <c r="AP8" s="5">
        <f>IF(AR8+AR9+AR10&gt;=2,1,0)</f>
        <v>0</v>
      </c>
      <c r="AR8" s="5">
        <f>IF(AS9+AS10+AS8&gt;=2,1,0)</f>
        <v>0</v>
      </c>
      <c r="AS8" s="5">
        <f>IF(AT9+AT10+AT8&gt;=2,1,0)</f>
        <v>0</v>
      </c>
      <c r="AT8" s="5">
        <f>IF(AU9+AU10&gt;=2,1,0)</f>
        <v>0</v>
      </c>
      <c r="AY8" s="7" t="s">
        <v>63</v>
      </c>
      <c r="AZ8" s="7" t="s">
        <v>64</v>
      </c>
      <c r="BA8" s="7" t="s">
        <v>65</v>
      </c>
      <c r="BB8" s="7" t="s">
        <v>66</v>
      </c>
      <c r="BC8" s="7" t="s">
        <v>67</v>
      </c>
      <c r="BD8" s="7" t="s">
        <v>68</v>
      </c>
      <c r="BF8">
        <f>C5</f>
        <v>161</v>
      </c>
      <c r="BG8">
        <v>1525</v>
      </c>
      <c r="BH8" s="10" t="s">
        <v>71</v>
      </c>
      <c r="BI8" s="10"/>
      <c r="BJ8" s="10"/>
      <c r="BK8" s="10"/>
      <c r="BL8" s="10"/>
    </row>
    <row r="9" spans="1:64" x14ac:dyDescent="0.2">
      <c r="A9" t="s">
        <v>5</v>
      </c>
      <c r="B9" t="s">
        <v>18</v>
      </c>
      <c r="C9">
        <f>65536-C7</f>
        <v>64011</v>
      </c>
      <c r="E9" t="s">
        <v>30</v>
      </c>
      <c r="G9">
        <f>MOD(QUOTIENT(C9,32768),2)</f>
        <v>1</v>
      </c>
      <c r="H9">
        <f t="shared" si="29"/>
        <v>1</v>
      </c>
      <c r="I9">
        <f t="shared" si="3"/>
        <v>1</v>
      </c>
      <c r="J9">
        <f t="shared" si="4"/>
        <v>1</v>
      </c>
      <c r="K9" t="s">
        <v>43</v>
      </c>
      <c r="L9">
        <f t="shared" si="5"/>
        <v>1</v>
      </c>
      <c r="M9">
        <f t="shared" si="6"/>
        <v>0</v>
      </c>
      <c r="N9">
        <f t="shared" si="7"/>
        <v>1</v>
      </c>
      <c r="O9">
        <f t="shared" si="8"/>
        <v>0</v>
      </c>
      <c r="P9" t="s">
        <v>43</v>
      </c>
      <c r="Q9">
        <f t="shared" si="9"/>
        <v>0</v>
      </c>
      <c r="R9">
        <f t="shared" si="10"/>
        <v>0</v>
      </c>
      <c r="S9">
        <f t="shared" si="11"/>
        <v>0</v>
      </c>
      <c r="T9">
        <v>0</v>
      </c>
      <c r="U9" t="s">
        <v>43</v>
      </c>
      <c r="V9">
        <v>1</v>
      </c>
      <c r="W9">
        <v>0</v>
      </c>
      <c r="X9">
        <f t="shared" si="14"/>
        <v>1</v>
      </c>
      <c r="Y9">
        <f t="shared" si="15"/>
        <v>1</v>
      </c>
      <c r="AB9" t="s">
        <v>51</v>
      </c>
      <c r="AC9">
        <f t="shared" ref="AC9:AL10" si="35">G5</f>
        <v>0</v>
      </c>
      <c r="AD9">
        <f t="shared" si="35"/>
        <v>0</v>
      </c>
      <c r="AE9">
        <f t="shared" si="35"/>
        <v>0</v>
      </c>
      <c r="AF9">
        <f t="shared" si="35"/>
        <v>0</v>
      </c>
      <c r="AG9" t="str">
        <f t="shared" si="35"/>
        <v>.</v>
      </c>
      <c r="AH9">
        <f t="shared" si="35"/>
        <v>0</v>
      </c>
      <c r="AI9">
        <f t="shared" si="35"/>
        <v>0</v>
      </c>
      <c r="AJ9">
        <f t="shared" si="35"/>
        <v>0</v>
      </c>
      <c r="AK9">
        <f t="shared" si="35"/>
        <v>0</v>
      </c>
      <c r="AL9" t="str">
        <f t="shared" si="35"/>
        <v>.</v>
      </c>
      <c r="AM9">
        <f t="shared" ref="AM9:AV10" si="36">Q5</f>
        <v>1</v>
      </c>
      <c r="AN9">
        <f t="shared" si="36"/>
        <v>0</v>
      </c>
      <c r="AO9">
        <f t="shared" si="36"/>
        <v>1</v>
      </c>
      <c r="AP9">
        <f t="shared" si="36"/>
        <v>0</v>
      </c>
      <c r="AQ9" t="str">
        <f t="shared" si="36"/>
        <v>.</v>
      </c>
      <c r="AR9">
        <f t="shared" si="36"/>
        <v>0</v>
      </c>
      <c r="AS9">
        <f t="shared" si="36"/>
        <v>0</v>
      </c>
      <c r="AT9">
        <f t="shared" si="36"/>
        <v>0</v>
      </c>
      <c r="AU9">
        <f t="shared" si="36"/>
        <v>1</v>
      </c>
      <c r="AY9" s="8">
        <f>IF(AC8+AC9&gt;=1,1,0)</f>
        <v>0</v>
      </c>
      <c r="AZ9" s="8">
        <f>IF(MOD(AZ7,2)=0,1,0)</f>
        <v>1</v>
      </c>
      <c r="BA9" s="8">
        <f>AP8</f>
        <v>0</v>
      </c>
      <c r="BB9" s="8">
        <f>IF(SUM(AC11:AU11)=0,1,0)</f>
        <v>0</v>
      </c>
      <c r="BC9" s="8">
        <f>AC11</f>
        <v>0</v>
      </c>
      <c r="BD9" s="8">
        <f>IF(AND(AC8=AC9,AC8&lt;&gt;AC10),1,0)</f>
        <v>0</v>
      </c>
      <c r="BF9">
        <f>C6</f>
        <v>1364</v>
      </c>
      <c r="BH9" s="10"/>
      <c r="BI9" s="10"/>
      <c r="BJ9" s="10"/>
      <c r="BK9" s="10"/>
      <c r="BL9" s="10"/>
    </row>
    <row r="10" spans="1:64" x14ac:dyDescent="0.2">
      <c r="A10" t="s">
        <v>6</v>
      </c>
      <c r="B10" s="1" t="s">
        <v>19</v>
      </c>
      <c r="C10">
        <f t="shared" ref="C10:C15" si="37">-C4</f>
        <v>-1203</v>
      </c>
      <c r="E10" t="s">
        <v>31</v>
      </c>
      <c r="F10" s="1" t="s">
        <v>37</v>
      </c>
      <c r="G10">
        <f>MOD(QUOTIENT(POWER(2,16)+C10,POWER(2,15)),2)</f>
        <v>1</v>
      </c>
      <c r="H10">
        <f t="shared" ref="H10:H15" si="38">MOD(QUOTIENT(POWER(2,16)+C10,POWER(2,14)),2)</f>
        <v>1</v>
      </c>
      <c r="I10">
        <f>MOD(QUOTIENT(POWER(2,16)+C10,POWER(2,13)),2)</f>
        <v>1</v>
      </c>
      <c r="J10">
        <f>MOD(QUOTIENT(POWER(2,16)+C10,POWER(2,12)),2)</f>
        <v>1</v>
      </c>
      <c r="K10" t="s">
        <v>43</v>
      </c>
      <c r="L10">
        <f>MOD(QUOTIENT(POWER(2,16)+C10,POWER(2,11)),2)</f>
        <v>1</v>
      </c>
      <c r="M10">
        <f>MOD(QUOTIENT(POWER(2,16)+C10,POWER(2,10)),2)</f>
        <v>0</v>
      </c>
      <c r="N10">
        <f>MOD(QUOTIENT(POWER(2,16)+C10,POWER(2,9)),2)</f>
        <v>1</v>
      </c>
      <c r="O10">
        <f>MOD(QUOTIENT(POWER(2,16)+C10,POWER(2,8)),2)</f>
        <v>1</v>
      </c>
      <c r="P10" t="s">
        <v>43</v>
      </c>
      <c r="Q10">
        <f>MOD(QUOTIENT(POWER(2,16)+C10,POWER(2,7)),2)</f>
        <v>0</v>
      </c>
      <c r="R10">
        <f>MOD(QUOTIENT(POWER(2,16)+C10,POWER(2,6)),2)</f>
        <v>1</v>
      </c>
      <c r="S10">
        <f>MOD(QUOTIENT(POWER(2,16)+C10,POWER(2,5)),2)</f>
        <v>0</v>
      </c>
      <c r="T10">
        <f>MOD(QUOTIENT(POWER(2,16)+C10,POWER(2,4)),2)</f>
        <v>0</v>
      </c>
      <c r="U10" t="s">
        <v>43</v>
      </c>
      <c r="V10">
        <f>MOD(QUOTIENT(POWER(2,16)+C10,POWER(2,3)),2)</f>
        <v>1</v>
      </c>
      <c r="W10">
        <f>MOD(QUOTIENT(POWER(2,16)+C10,POWER(2,2)),2)</f>
        <v>1</v>
      </c>
      <c r="X10">
        <f>MOD(QUOTIENT(POWER(2,16)+C10,POWER(2,1)),2)</f>
        <v>0</v>
      </c>
      <c r="Y10">
        <f>MOD(QUOTIENT(POWER(2,16)+C10,POWER(2,0)),2)</f>
        <v>1</v>
      </c>
      <c r="AC10" s="4">
        <f t="shared" si="35"/>
        <v>0</v>
      </c>
      <c r="AD10" s="4">
        <f t="shared" si="35"/>
        <v>0</v>
      </c>
      <c r="AE10" s="4">
        <f t="shared" si="35"/>
        <v>0</v>
      </c>
      <c r="AF10" s="4">
        <f t="shared" si="35"/>
        <v>0</v>
      </c>
      <c r="AG10" s="4" t="str">
        <f t="shared" si="35"/>
        <v>.</v>
      </c>
      <c r="AH10" s="4">
        <f t="shared" si="35"/>
        <v>0</v>
      </c>
      <c r="AI10" s="4">
        <f t="shared" si="35"/>
        <v>1</v>
      </c>
      <c r="AJ10" s="4">
        <f t="shared" si="35"/>
        <v>0</v>
      </c>
      <c r="AK10" s="4">
        <f t="shared" si="35"/>
        <v>1</v>
      </c>
      <c r="AL10" s="4" t="str">
        <f t="shared" si="35"/>
        <v>.</v>
      </c>
      <c r="AM10" s="4">
        <f t="shared" si="36"/>
        <v>0</v>
      </c>
      <c r="AN10" s="4">
        <f t="shared" si="36"/>
        <v>1</v>
      </c>
      <c r="AO10" s="4">
        <f t="shared" si="36"/>
        <v>0</v>
      </c>
      <c r="AP10" s="4">
        <f t="shared" si="36"/>
        <v>1</v>
      </c>
      <c r="AQ10" s="4" t="str">
        <f t="shared" si="36"/>
        <v>.</v>
      </c>
      <c r="AR10" s="4">
        <f t="shared" si="36"/>
        <v>0</v>
      </c>
      <c r="AS10" s="4">
        <f t="shared" si="36"/>
        <v>1</v>
      </c>
      <c r="AT10" s="4">
        <f t="shared" si="36"/>
        <v>0</v>
      </c>
      <c r="AU10" s="4">
        <f t="shared" si="36"/>
        <v>0</v>
      </c>
      <c r="BH10" s="10"/>
      <c r="BI10" s="10"/>
      <c r="BJ10" s="10"/>
      <c r="BK10" s="10"/>
      <c r="BL10" s="10"/>
    </row>
    <row r="11" spans="1:64" x14ac:dyDescent="0.2">
      <c r="A11" t="s">
        <v>7</v>
      </c>
      <c r="B11" s="1" t="s">
        <v>20</v>
      </c>
      <c r="C11">
        <f t="shared" si="37"/>
        <v>-161</v>
      </c>
      <c r="E11" t="s">
        <v>32</v>
      </c>
      <c r="F11" s="1" t="s">
        <v>38</v>
      </c>
      <c r="G11">
        <f t="shared" ref="G11:G15" si="39">MOD(QUOTIENT(POWER(2,16)+C11,POWER(2,15)),2)</f>
        <v>1</v>
      </c>
      <c r="H11">
        <f t="shared" si="38"/>
        <v>1</v>
      </c>
      <c r="I11">
        <f t="shared" ref="I11:I15" si="40">MOD(QUOTIENT(POWER(2,16)+C11,POWER(2,13)),2)</f>
        <v>1</v>
      </c>
      <c r="J11">
        <f t="shared" ref="J11:J15" si="41">MOD(QUOTIENT(POWER(2,16)+C11,POWER(2,12)),2)</f>
        <v>1</v>
      </c>
      <c r="K11" t="s">
        <v>43</v>
      </c>
      <c r="L11">
        <f t="shared" ref="L11:L15" si="42">MOD(QUOTIENT(POWER(2,16)+C11,POWER(2,11)),2)</f>
        <v>1</v>
      </c>
      <c r="M11">
        <f t="shared" ref="M11:M15" si="43">MOD(QUOTIENT(POWER(2,16)+C11,POWER(2,10)),2)</f>
        <v>1</v>
      </c>
      <c r="N11">
        <f t="shared" ref="N11:N15" si="44">MOD(QUOTIENT(POWER(2,16)+C11,POWER(2,9)),2)</f>
        <v>1</v>
      </c>
      <c r="O11">
        <f t="shared" ref="O11:O15" si="45">MOD(QUOTIENT(POWER(2,16)+C11,POWER(2,8)),2)</f>
        <v>1</v>
      </c>
      <c r="P11" t="s">
        <v>43</v>
      </c>
      <c r="Q11">
        <f t="shared" ref="Q11:Q15" si="46">MOD(QUOTIENT(POWER(2,16)+C11,POWER(2,7)),2)</f>
        <v>0</v>
      </c>
      <c r="R11">
        <f t="shared" ref="R11:R15" si="47">MOD(QUOTIENT(POWER(2,16)+C11,POWER(2,6)),2)</f>
        <v>1</v>
      </c>
      <c r="S11">
        <f t="shared" ref="S11:S15" si="48">MOD(QUOTIENT(POWER(2,16)+C11,POWER(2,5)),2)</f>
        <v>0</v>
      </c>
      <c r="T11">
        <f t="shared" ref="T11:T15" si="49">MOD(QUOTIENT(POWER(2,16)+C11,POWER(2,4)),2)</f>
        <v>1</v>
      </c>
      <c r="U11" t="s">
        <v>43</v>
      </c>
      <c r="V11">
        <f t="shared" ref="V11:V14" si="50">MOD(QUOTIENT(POWER(2,16)+C11,POWER(2,3)),2)</f>
        <v>1</v>
      </c>
      <c r="W11">
        <f t="shared" ref="W11:W15" si="51">MOD(QUOTIENT(POWER(2,16)+C11,POWER(2,2)),2)</f>
        <v>1</v>
      </c>
      <c r="X11">
        <f t="shared" ref="X11:X15" si="52">MOD(QUOTIENT(POWER(2,16)+C11,POWER(2,1)),2)</f>
        <v>1</v>
      </c>
      <c r="Y11">
        <f t="shared" ref="Y11:Y15" si="53">MOD(QUOTIENT(POWER(2,16)+C11,POWER(2,0)),2)</f>
        <v>1</v>
      </c>
      <c r="AC11">
        <f t="shared" ref="AC11:AE11" si="54">MOD(AC8+AC9+AC10,2)</f>
        <v>0</v>
      </c>
      <c r="AD11">
        <f t="shared" si="54"/>
        <v>0</v>
      </c>
      <c r="AE11">
        <f t="shared" si="54"/>
        <v>0</v>
      </c>
      <c r="AF11">
        <f>MOD(AF8+AF9+AF10,2)</f>
        <v>0</v>
      </c>
      <c r="AH11">
        <f t="shared" ref="AH11:AJ11" si="55">MOD(AH8+AH9+AH10,2)</f>
        <v>0</v>
      </c>
      <c r="AI11">
        <f t="shared" si="55"/>
        <v>1</v>
      </c>
      <c r="AJ11">
        <f t="shared" si="55"/>
        <v>0</v>
      </c>
      <c r="AK11">
        <f>MOD(AK8+AK9+AK10,2)</f>
        <v>1</v>
      </c>
      <c r="AM11">
        <f t="shared" ref="AM11:AO11" si="56">MOD(AM8+AM9+AM10,2)</f>
        <v>1</v>
      </c>
      <c r="AN11">
        <f t="shared" si="56"/>
        <v>1</v>
      </c>
      <c r="AO11">
        <f t="shared" si="56"/>
        <v>1</v>
      </c>
      <c r="AP11">
        <f>MOD(AP8+AP9+AP10,2)</f>
        <v>1</v>
      </c>
      <c r="AR11">
        <f t="shared" ref="AR11:AT11" si="57">MOD(AR8+AR9+AR10,2)</f>
        <v>0</v>
      </c>
      <c r="AS11">
        <f t="shared" si="57"/>
        <v>1</v>
      </c>
      <c r="AT11">
        <f t="shared" si="57"/>
        <v>0</v>
      </c>
      <c r="AU11">
        <f>MOD(AU8+AU9+AU10,2)</f>
        <v>1</v>
      </c>
      <c r="AV11" t="s">
        <v>49</v>
      </c>
      <c r="AW11">
        <f>IF(AC11=0,(AU11+AT11*2+AS11*4+AR11*8+AP11*16+AO11*32+AN11*64+AM11*128+AK11*256+AJ11*512+AI11*1024+AH11*2048+AF11*4096+AE11*8192+AD11*16384),(MOD(AU11+1,2)+MOD(AT11+1,2)*2+MOD(AS11+1,2)*4+MOD(AR11+1,2)*8+MOD(AP11+1,2)*16+MOD(AO11+1,2)*32+MOD(AN11+1,2)*64+MOD(AM11+1,2)*128+MOD(AK11+1,2)*256+MOD(AJ11+1,2)*512+MOD(AI11+1,2)*1024+MOD(AH11+1,2)*2048+MOD(AF11+1,2)*4096+MOD(AE11+1,2)*8192+MOD(AD11+1,2)*16384)*-1-1)</f>
        <v>1525</v>
      </c>
      <c r="AY11" s="3"/>
      <c r="AZ11" s="3"/>
      <c r="BA11" s="3"/>
      <c r="BB11" s="3"/>
      <c r="BC11" s="3"/>
      <c r="BD11" s="3"/>
      <c r="BH11" s="10"/>
      <c r="BI11" s="10"/>
      <c r="BJ11" s="10"/>
      <c r="BK11" s="10"/>
      <c r="BL11" s="10"/>
    </row>
    <row r="12" spans="1:64" x14ac:dyDescent="0.2">
      <c r="A12" t="s">
        <v>8</v>
      </c>
      <c r="B12" s="1" t="s">
        <v>21</v>
      </c>
      <c r="C12">
        <f t="shared" si="37"/>
        <v>-1364</v>
      </c>
      <c r="E12" t="s">
        <v>33</v>
      </c>
      <c r="F12" s="1" t="s">
        <v>39</v>
      </c>
      <c r="G12">
        <f t="shared" si="39"/>
        <v>1</v>
      </c>
      <c r="H12">
        <f t="shared" si="38"/>
        <v>1</v>
      </c>
      <c r="I12">
        <f t="shared" si="40"/>
        <v>1</v>
      </c>
      <c r="J12">
        <f t="shared" si="41"/>
        <v>1</v>
      </c>
      <c r="K12" t="s">
        <v>43</v>
      </c>
      <c r="L12">
        <f t="shared" si="42"/>
        <v>1</v>
      </c>
      <c r="M12">
        <f t="shared" si="43"/>
        <v>0</v>
      </c>
      <c r="N12">
        <f t="shared" si="44"/>
        <v>1</v>
      </c>
      <c r="O12">
        <f t="shared" si="45"/>
        <v>0</v>
      </c>
      <c r="P12" t="s">
        <v>43</v>
      </c>
      <c r="Q12">
        <f t="shared" si="46"/>
        <v>1</v>
      </c>
      <c r="R12">
        <f t="shared" si="47"/>
        <v>0</v>
      </c>
      <c r="S12">
        <f t="shared" si="48"/>
        <v>1</v>
      </c>
      <c r="T12">
        <f t="shared" si="49"/>
        <v>0</v>
      </c>
      <c r="U12" t="s">
        <v>43</v>
      </c>
      <c r="V12">
        <f t="shared" si="50"/>
        <v>1</v>
      </c>
      <c r="W12">
        <f t="shared" si="51"/>
        <v>1</v>
      </c>
      <c r="X12">
        <f t="shared" si="52"/>
        <v>0</v>
      </c>
      <c r="Y12">
        <f t="shared" si="53"/>
        <v>0</v>
      </c>
      <c r="AY12" s="3"/>
      <c r="AZ12" s="3">
        <f>COUNTIF(AD16:AU16,1)</f>
        <v>12</v>
      </c>
      <c r="BA12" s="3"/>
      <c r="BB12" s="3"/>
      <c r="BC12" s="3"/>
      <c r="BD12" s="3"/>
    </row>
    <row r="13" spans="1:64" x14ac:dyDescent="0.2">
      <c r="A13" t="s">
        <v>9</v>
      </c>
      <c r="B13" s="1" t="s">
        <v>22</v>
      </c>
      <c r="C13">
        <f t="shared" si="37"/>
        <v>-1525</v>
      </c>
      <c r="E13" t="s">
        <v>34</v>
      </c>
      <c r="F13" s="1" t="s">
        <v>40</v>
      </c>
      <c r="G13">
        <f t="shared" si="39"/>
        <v>1</v>
      </c>
      <c r="H13">
        <f t="shared" si="38"/>
        <v>1</v>
      </c>
      <c r="I13">
        <f t="shared" si="40"/>
        <v>1</v>
      </c>
      <c r="J13">
        <f t="shared" si="41"/>
        <v>1</v>
      </c>
      <c r="K13" t="s">
        <v>43</v>
      </c>
      <c r="L13">
        <f t="shared" si="42"/>
        <v>1</v>
      </c>
      <c r="M13">
        <f t="shared" si="43"/>
        <v>0</v>
      </c>
      <c r="N13">
        <f t="shared" si="44"/>
        <v>1</v>
      </c>
      <c r="O13">
        <f t="shared" si="45"/>
        <v>0</v>
      </c>
      <c r="P13" t="s">
        <v>43</v>
      </c>
      <c r="Q13">
        <f t="shared" si="46"/>
        <v>0</v>
      </c>
      <c r="R13">
        <f t="shared" si="47"/>
        <v>0</v>
      </c>
      <c r="S13">
        <f t="shared" si="48"/>
        <v>0</v>
      </c>
      <c r="T13">
        <f t="shared" si="49"/>
        <v>0</v>
      </c>
      <c r="U13" t="s">
        <v>43</v>
      </c>
      <c r="V13">
        <f t="shared" si="50"/>
        <v>1</v>
      </c>
      <c r="W13">
        <f t="shared" si="51"/>
        <v>0</v>
      </c>
      <c r="X13">
        <f t="shared" si="52"/>
        <v>1</v>
      </c>
      <c r="Y13">
        <f t="shared" si="53"/>
        <v>1</v>
      </c>
      <c r="AA13" t="s">
        <v>54</v>
      </c>
      <c r="AB13" t="s">
        <v>48</v>
      </c>
      <c r="AC13" s="5">
        <f>IF(AD13+AD14+AD15&gt;=2,1,0)</f>
        <v>0</v>
      </c>
      <c r="AD13" s="5">
        <f>IF(AE13+AE14+AE15&gt;=2,1,0)</f>
        <v>0</v>
      </c>
      <c r="AE13" s="5">
        <f>IF(AF13+AF14+AF15&gt;=2,1,0)</f>
        <v>0</v>
      </c>
      <c r="AF13" s="5">
        <f>IF(AH13+AH14+AH15&gt;=2,1,0)</f>
        <v>0</v>
      </c>
      <c r="AH13" s="5">
        <f>IF(AI13+AI14+AI15&gt;=2,1,0)</f>
        <v>0</v>
      </c>
      <c r="AI13" s="5">
        <f>IF(AJ13+AJ14+AJ15&gt;=2,1,0)</f>
        <v>0</v>
      </c>
      <c r="AJ13" s="5">
        <f>IF(AK13+AK14+AK15&gt;=2,1,0)</f>
        <v>0</v>
      </c>
      <c r="AK13" s="5">
        <f>IF(AM13+AM14+AM15&gt;=2,1,0)</f>
        <v>0</v>
      </c>
      <c r="AM13" s="5">
        <f>IF(AN13+AN14+AN15&gt;=2,1,0)</f>
        <v>0</v>
      </c>
      <c r="AN13" s="5">
        <f>IF(AO13+AO14+AO15&gt;=2,1,0)</f>
        <v>0</v>
      </c>
      <c r="AO13" s="5">
        <f>IF(AP13+AP14+AP15&gt;=2,1,0)</f>
        <v>0</v>
      </c>
      <c r="AP13" s="5">
        <f>IF(AR13+AR14+AR15&gt;=2,1,0)</f>
        <v>0</v>
      </c>
      <c r="AR13" s="5">
        <f>IF(AS13+AS14+AS15&gt;=2,1,0)</f>
        <v>0</v>
      </c>
      <c r="AS13" s="5">
        <f>IF(AT13+AT14+AT15&gt;=2,1,0)</f>
        <v>0</v>
      </c>
      <c r="AT13" s="5">
        <f>IF(AU13+AU14+AU15&gt;=2,1,0)</f>
        <v>1</v>
      </c>
      <c r="AY13" s="7" t="s">
        <v>63</v>
      </c>
      <c r="AZ13" s="7" t="s">
        <v>64</v>
      </c>
      <c r="BA13" s="7" t="s">
        <v>65</v>
      </c>
      <c r="BB13" s="7" t="s">
        <v>66</v>
      </c>
      <c r="BC13" s="7" t="s">
        <v>67</v>
      </c>
      <c r="BD13" s="7" t="s">
        <v>68</v>
      </c>
      <c r="BF13">
        <f>C5</f>
        <v>161</v>
      </c>
      <c r="BG13">
        <v>-1042</v>
      </c>
      <c r="BH13" s="10" t="s">
        <v>70</v>
      </c>
      <c r="BI13" s="10"/>
      <c r="BJ13" s="10"/>
      <c r="BK13" s="10"/>
      <c r="BL13" s="10"/>
    </row>
    <row r="14" spans="1:64" x14ac:dyDescent="0.2">
      <c r="A14" t="s">
        <v>10</v>
      </c>
      <c r="B14" s="1" t="s">
        <v>23</v>
      </c>
      <c r="C14">
        <f t="shared" si="37"/>
        <v>1042</v>
      </c>
      <c r="E14" t="s">
        <v>35</v>
      </c>
      <c r="F14" s="1" t="s">
        <v>41</v>
      </c>
      <c r="G14">
        <f t="shared" si="39"/>
        <v>0</v>
      </c>
      <c r="H14">
        <f t="shared" si="38"/>
        <v>0</v>
      </c>
      <c r="I14">
        <f t="shared" si="40"/>
        <v>0</v>
      </c>
      <c r="J14">
        <f t="shared" si="41"/>
        <v>0</v>
      </c>
      <c r="K14" t="s">
        <v>43</v>
      </c>
      <c r="L14">
        <f t="shared" si="42"/>
        <v>0</v>
      </c>
      <c r="M14">
        <f t="shared" si="43"/>
        <v>1</v>
      </c>
      <c r="N14">
        <f t="shared" si="44"/>
        <v>0</v>
      </c>
      <c r="O14">
        <f t="shared" si="45"/>
        <v>0</v>
      </c>
      <c r="P14" t="s">
        <v>43</v>
      </c>
      <c r="Q14">
        <f t="shared" si="46"/>
        <v>0</v>
      </c>
      <c r="R14">
        <f t="shared" si="47"/>
        <v>0</v>
      </c>
      <c r="S14">
        <f t="shared" si="48"/>
        <v>0</v>
      </c>
      <c r="T14">
        <f t="shared" si="49"/>
        <v>1</v>
      </c>
      <c r="U14" t="s">
        <v>43</v>
      </c>
      <c r="V14">
        <f t="shared" si="50"/>
        <v>0</v>
      </c>
      <c r="W14">
        <f t="shared" si="51"/>
        <v>0</v>
      </c>
      <c r="X14">
        <f t="shared" si="52"/>
        <v>1</v>
      </c>
      <c r="Y14">
        <f t="shared" si="53"/>
        <v>0</v>
      </c>
      <c r="AB14" t="s">
        <v>52</v>
      </c>
      <c r="AC14">
        <f t="shared" ref="AC14:AU14" si="58">G5</f>
        <v>0</v>
      </c>
      <c r="AD14">
        <f t="shared" si="58"/>
        <v>0</v>
      </c>
      <c r="AE14">
        <f t="shared" si="58"/>
        <v>0</v>
      </c>
      <c r="AF14">
        <f t="shared" si="58"/>
        <v>0</v>
      </c>
      <c r="AG14" t="str">
        <f t="shared" si="58"/>
        <v>.</v>
      </c>
      <c r="AH14">
        <f t="shared" si="58"/>
        <v>0</v>
      </c>
      <c r="AI14">
        <f t="shared" si="58"/>
        <v>0</v>
      </c>
      <c r="AJ14">
        <f t="shared" si="58"/>
        <v>0</v>
      </c>
      <c r="AK14">
        <f t="shared" si="58"/>
        <v>0</v>
      </c>
      <c r="AL14" t="str">
        <f t="shared" si="58"/>
        <v>.</v>
      </c>
      <c r="AM14">
        <f t="shared" si="58"/>
        <v>1</v>
      </c>
      <c r="AN14">
        <f t="shared" si="58"/>
        <v>0</v>
      </c>
      <c r="AO14">
        <f t="shared" si="58"/>
        <v>1</v>
      </c>
      <c r="AP14">
        <f t="shared" si="58"/>
        <v>0</v>
      </c>
      <c r="AQ14" t="str">
        <f t="shared" si="58"/>
        <v>.</v>
      </c>
      <c r="AR14">
        <f t="shared" si="58"/>
        <v>0</v>
      </c>
      <c r="AS14">
        <f t="shared" si="58"/>
        <v>0</v>
      </c>
      <c r="AT14">
        <f t="shared" si="58"/>
        <v>0</v>
      </c>
      <c r="AU14">
        <f t="shared" si="58"/>
        <v>1</v>
      </c>
      <c r="AY14" s="8">
        <f>IF(AC13+AC14&gt;=1,1,0)</f>
        <v>0</v>
      </c>
      <c r="AZ14" s="8">
        <f>IF(MOD(AZ12,2)=0,1,0)</f>
        <v>1</v>
      </c>
      <c r="BA14" s="8">
        <f>AP13</f>
        <v>0</v>
      </c>
      <c r="BB14" s="8">
        <f>IF(SUM(AC16:AU16)=0,1,0)</f>
        <v>0</v>
      </c>
      <c r="BC14" s="8">
        <f>AC16</f>
        <v>1</v>
      </c>
      <c r="BD14" s="8">
        <f>IF(AND(AC13=AC14,AC13&lt;&gt;AC15),1,0)</f>
        <v>1</v>
      </c>
      <c r="BF14">
        <f>C10</f>
        <v>-1203</v>
      </c>
      <c r="BH14" s="10"/>
      <c r="BI14" s="10"/>
      <c r="BJ14" s="10"/>
      <c r="BK14" s="10"/>
      <c r="BL14" s="10"/>
    </row>
    <row r="15" spans="1:64" x14ac:dyDescent="0.2">
      <c r="A15" t="s">
        <v>11</v>
      </c>
      <c r="B15" s="1" t="s">
        <v>24</v>
      </c>
      <c r="C15">
        <f t="shared" si="37"/>
        <v>-64011</v>
      </c>
      <c r="E15" t="s">
        <v>36</v>
      </c>
      <c r="F15" s="1" t="s">
        <v>42</v>
      </c>
      <c r="G15">
        <f t="shared" si="39"/>
        <v>0</v>
      </c>
      <c r="H15">
        <f t="shared" si="38"/>
        <v>0</v>
      </c>
      <c r="I15">
        <f t="shared" si="40"/>
        <v>0</v>
      </c>
      <c r="J15">
        <f t="shared" si="41"/>
        <v>0</v>
      </c>
      <c r="K15" t="s">
        <v>43</v>
      </c>
      <c r="L15">
        <f t="shared" si="42"/>
        <v>0</v>
      </c>
      <c r="M15">
        <f t="shared" si="43"/>
        <v>1</v>
      </c>
      <c r="N15">
        <f t="shared" si="44"/>
        <v>0</v>
      </c>
      <c r="O15">
        <f t="shared" si="45"/>
        <v>1</v>
      </c>
      <c r="P15" t="s">
        <v>43</v>
      </c>
      <c r="Q15">
        <f t="shared" si="46"/>
        <v>1</v>
      </c>
      <c r="R15">
        <f t="shared" si="47"/>
        <v>1</v>
      </c>
      <c r="S15">
        <f t="shared" si="48"/>
        <v>1</v>
      </c>
      <c r="T15">
        <f t="shared" si="49"/>
        <v>1</v>
      </c>
      <c r="U15" t="s">
        <v>43</v>
      </c>
      <c r="V15">
        <f>MOD(QUOTIENT(POWER(2,16)+C15,POWER(2,3)),2)</f>
        <v>0</v>
      </c>
      <c r="W15">
        <f t="shared" si="51"/>
        <v>1</v>
      </c>
      <c r="X15">
        <f t="shared" si="52"/>
        <v>0</v>
      </c>
      <c r="Y15">
        <f t="shared" si="53"/>
        <v>1</v>
      </c>
      <c r="AC15" s="4">
        <f>G10</f>
        <v>1</v>
      </c>
      <c r="AD15" s="4">
        <f>H10</f>
        <v>1</v>
      </c>
      <c r="AE15" s="4">
        <f>I10</f>
        <v>1</v>
      </c>
      <c r="AF15" s="4">
        <f>J10</f>
        <v>1</v>
      </c>
      <c r="AG15" s="4" t="str">
        <f t="shared" ref="AC15:AP15" si="59">K10</f>
        <v>.</v>
      </c>
      <c r="AH15" s="4">
        <f>L10</f>
        <v>1</v>
      </c>
      <c r="AI15" s="4">
        <f>M10</f>
        <v>0</v>
      </c>
      <c r="AJ15" s="4">
        <f>N10</f>
        <v>1</v>
      </c>
      <c r="AK15" s="4">
        <f>O10</f>
        <v>1</v>
      </c>
      <c r="AL15" s="4" t="str">
        <f t="shared" si="59"/>
        <v>.</v>
      </c>
      <c r="AM15" s="4">
        <f>Q10</f>
        <v>0</v>
      </c>
      <c r="AN15" s="4">
        <f>R10</f>
        <v>1</v>
      </c>
      <c r="AO15" s="4">
        <f>S10</f>
        <v>0</v>
      </c>
      <c r="AP15" s="4">
        <f t="shared" si="59"/>
        <v>0</v>
      </c>
      <c r="AQ15" s="4" t="s">
        <v>43</v>
      </c>
      <c r="AR15" s="4">
        <f>V10</f>
        <v>1</v>
      </c>
      <c r="AS15" s="4">
        <f>W10</f>
        <v>1</v>
      </c>
      <c r="AT15" s="4">
        <f>X10</f>
        <v>0</v>
      </c>
      <c r="AU15" s="4">
        <f>Y10</f>
        <v>1</v>
      </c>
      <c r="BH15" s="10"/>
      <c r="BI15" s="10"/>
      <c r="BJ15" s="10"/>
      <c r="BK15" s="10"/>
      <c r="BL15" s="10"/>
    </row>
    <row r="16" spans="1:64" x14ac:dyDescent="0.2">
      <c r="AC16">
        <f t="shared" ref="AC16" si="60">MOD(AC13+AC14+AC15,2)</f>
        <v>1</v>
      </c>
      <c r="AD16">
        <f t="shared" ref="AD16" si="61">MOD(AD13+AD14+AD15,2)</f>
        <v>1</v>
      </c>
      <c r="AE16">
        <f t="shared" ref="AE16" si="62">MOD(AE13+AE14+AE15,2)</f>
        <v>1</v>
      </c>
      <c r="AF16">
        <f t="shared" ref="AF16" si="63">MOD(AF13+AF14+AF15,2)</f>
        <v>1</v>
      </c>
      <c r="AH16">
        <f t="shared" ref="AH16" si="64">MOD(AH13+AH14+AH15,2)</f>
        <v>1</v>
      </c>
      <c r="AI16">
        <f t="shared" ref="AI16" si="65">MOD(AI13+AI14+AI15,2)</f>
        <v>0</v>
      </c>
      <c r="AJ16">
        <f t="shared" ref="AJ16" si="66">MOD(AJ13+AJ14+AJ15,2)</f>
        <v>1</v>
      </c>
      <c r="AK16">
        <f t="shared" ref="AK16" si="67">MOD(AK13+AK14+AK15,2)</f>
        <v>1</v>
      </c>
      <c r="AM16">
        <f t="shared" ref="AM16" si="68">MOD(AM13+AM14+AM15,2)</f>
        <v>1</v>
      </c>
      <c r="AN16">
        <f t="shared" ref="AN16" si="69">MOD(AN13+AN14+AN15,2)</f>
        <v>1</v>
      </c>
      <c r="AO16">
        <f t="shared" ref="AO16" si="70">MOD(AO13+AO14+AO15,2)</f>
        <v>1</v>
      </c>
      <c r="AP16">
        <f>MOD(AP13+AP14+AP15,2)</f>
        <v>0</v>
      </c>
      <c r="AR16">
        <f t="shared" ref="AR16:AT16" si="71">MOD(AR13+AR14+AR15,2)</f>
        <v>1</v>
      </c>
      <c r="AS16">
        <f t="shared" si="71"/>
        <v>1</v>
      </c>
      <c r="AT16">
        <f t="shared" si="71"/>
        <v>1</v>
      </c>
      <c r="AU16">
        <f>MOD(AU13+AU14+AU15,2)</f>
        <v>0</v>
      </c>
      <c r="AV16" t="s">
        <v>49</v>
      </c>
      <c r="AW16" s="9">
        <f>IF(G15=0,_xlfn.DECIMAL(SUBSTITUTE(_xlfn.CONCAT(AC15:AU15),".",""),2),0-_xlfn.DECIMAL(SUBSTITUTE(_xlfn.CONCAT(AC16:AU16),".",""),2))</f>
        <v>64333</v>
      </c>
      <c r="BH16" s="10"/>
      <c r="BI16" s="10"/>
      <c r="BJ16" s="10"/>
      <c r="BK16" s="10"/>
      <c r="BL16" s="10"/>
    </row>
    <row r="17" spans="2:64" ht="19" x14ac:dyDescent="0.25">
      <c r="B17" s="2" t="s">
        <v>44</v>
      </c>
      <c r="AY17" s="3"/>
      <c r="AZ17" s="3">
        <f>COUNTIF(AD21:AU21,1)</f>
        <v>9</v>
      </c>
      <c r="BA17" s="3"/>
      <c r="BB17" s="3"/>
      <c r="BC17" s="3"/>
      <c r="BD17" s="3"/>
    </row>
    <row r="18" spans="2:64" ht="18" x14ac:dyDescent="0.2">
      <c r="B18" s="11" t="s">
        <v>45</v>
      </c>
      <c r="C18" s="11"/>
      <c r="D18" s="11"/>
      <c r="E18" s="11"/>
      <c r="AA18" t="s">
        <v>55</v>
      </c>
      <c r="AB18" t="s">
        <v>52</v>
      </c>
      <c r="AC18" s="5">
        <f>IF(AD18+AD19+AD20&gt;=2,1,0)</f>
        <v>1</v>
      </c>
      <c r="AD18" s="5">
        <f t="shared" ref="AD18" si="72">IF(AE18+AE19+AE20&gt;=2,1,0)</f>
        <v>1</v>
      </c>
      <c r="AE18" s="5">
        <f>IF(AF18+AF19+AF20&gt;=2,1,0)</f>
        <v>1</v>
      </c>
      <c r="AF18" s="5">
        <f>IF(AH18+AH19+AH20&gt;=2,1,0)</f>
        <v>1</v>
      </c>
      <c r="AH18" s="5">
        <f t="shared" ref="AH18:AI18" si="73">IF(AI18+AI19+AI20&gt;=2,1,0)</f>
        <v>1</v>
      </c>
      <c r="AI18" s="5">
        <f t="shared" si="73"/>
        <v>1</v>
      </c>
      <c r="AJ18" s="5">
        <f>IF(AK18+AK19+AK20&gt;=2,1,0)</f>
        <v>1</v>
      </c>
      <c r="AK18" s="5">
        <f>IF(AM18+AM19+AM20&gt;=2,1,0)</f>
        <v>0</v>
      </c>
      <c r="AM18" s="5">
        <f>IF(AN18+AN19+AN20&gt;=2,1,0)</f>
        <v>1</v>
      </c>
      <c r="AN18" s="5">
        <f t="shared" ref="AN18" si="74">IF(AO18+AO19+AO20&gt;=2,1,0)</f>
        <v>0</v>
      </c>
      <c r="AO18" s="5">
        <f>IF(AP18+AP19+AP20&gt;=2,1,0)</f>
        <v>1</v>
      </c>
      <c r="AP18" s="5">
        <f>IF(AR18+AR19+AR20&gt;=2,1,0)</f>
        <v>1</v>
      </c>
      <c r="AR18" s="5">
        <f>IF(AS18+AS19+AS20&gt;=2,1,0)</f>
        <v>1</v>
      </c>
      <c r="AS18" s="5">
        <f t="shared" ref="AS18" si="75">IF(AT18+AT19+AT20&gt;=2,1,0)</f>
        <v>1</v>
      </c>
      <c r="AT18" s="5">
        <f>IF(AU18+AU19+AU20&gt;=2,1,0)</f>
        <v>1</v>
      </c>
      <c r="AY18" s="7" t="s">
        <v>63</v>
      </c>
      <c r="AZ18" s="7" t="s">
        <v>64</v>
      </c>
      <c r="BA18" s="7" t="s">
        <v>65</v>
      </c>
      <c r="BB18" s="7" t="s">
        <v>66</v>
      </c>
      <c r="BC18" s="7" t="s">
        <v>67</v>
      </c>
      <c r="BD18" s="7" t="s">
        <v>68</v>
      </c>
      <c r="BF18">
        <f>C10</f>
        <v>-1203</v>
      </c>
      <c r="BG18">
        <v>-1364</v>
      </c>
      <c r="BH18" s="10" t="s">
        <v>71</v>
      </c>
      <c r="BI18" s="10"/>
      <c r="BJ18" s="10"/>
      <c r="BK18" s="10"/>
      <c r="BL18" s="10"/>
    </row>
    <row r="19" spans="2:64" x14ac:dyDescent="0.2">
      <c r="AB19" t="s">
        <v>56</v>
      </c>
      <c r="AC19">
        <f t="shared" ref="AC19:AL20" si="76">G10</f>
        <v>1</v>
      </c>
      <c r="AD19">
        <f t="shared" si="76"/>
        <v>1</v>
      </c>
      <c r="AE19">
        <f t="shared" si="76"/>
        <v>1</v>
      </c>
      <c r="AF19">
        <f t="shared" si="76"/>
        <v>1</v>
      </c>
      <c r="AG19" t="str">
        <f t="shared" si="76"/>
        <v>.</v>
      </c>
      <c r="AH19">
        <f t="shared" si="76"/>
        <v>1</v>
      </c>
      <c r="AI19">
        <f t="shared" si="76"/>
        <v>0</v>
      </c>
      <c r="AJ19">
        <f t="shared" si="76"/>
        <v>1</v>
      </c>
      <c r="AK19">
        <f t="shared" si="76"/>
        <v>1</v>
      </c>
      <c r="AL19" t="str">
        <f t="shared" si="76"/>
        <v>.</v>
      </c>
      <c r="AM19">
        <f t="shared" ref="AM19:AV20" si="77">Q10</f>
        <v>0</v>
      </c>
      <c r="AN19">
        <f t="shared" si="77"/>
        <v>1</v>
      </c>
      <c r="AO19">
        <f t="shared" si="77"/>
        <v>0</v>
      </c>
      <c r="AP19">
        <f t="shared" si="77"/>
        <v>0</v>
      </c>
      <c r="AQ19" t="str">
        <f t="shared" si="77"/>
        <v>.</v>
      </c>
      <c r="AR19">
        <f t="shared" si="77"/>
        <v>1</v>
      </c>
      <c r="AS19">
        <f t="shared" si="77"/>
        <v>1</v>
      </c>
      <c r="AT19">
        <f t="shared" si="77"/>
        <v>0</v>
      </c>
      <c r="AU19">
        <f t="shared" si="77"/>
        <v>1</v>
      </c>
      <c r="AY19" s="8">
        <f>IF(AC18+AC19&gt;=1,1,0)</f>
        <v>1</v>
      </c>
      <c r="AZ19" s="8">
        <f>IF(MOD(AZ17,2)=0,1,0)</f>
        <v>0</v>
      </c>
      <c r="BA19" s="8">
        <f>AP18</f>
        <v>1</v>
      </c>
      <c r="BB19" s="8">
        <f>IF(SUM(AD21:AU21)=0,1,0)</f>
        <v>0</v>
      </c>
      <c r="BC19" s="8">
        <f>AC21</f>
        <v>1</v>
      </c>
      <c r="BD19" s="8">
        <f>IF(AND(AC18=AC19,AC18&lt;&gt;AC20),1,0)</f>
        <v>0</v>
      </c>
      <c r="BF19">
        <f>C11</f>
        <v>-161</v>
      </c>
      <c r="BH19" s="10"/>
      <c r="BI19" s="10"/>
      <c r="BJ19" s="10"/>
      <c r="BK19" s="10"/>
      <c r="BL19" s="10"/>
    </row>
    <row r="20" spans="2:64" x14ac:dyDescent="0.2">
      <c r="AC20" s="4">
        <f t="shared" si="76"/>
        <v>1</v>
      </c>
      <c r="AD20" s="4">
        <f t="shared" si="76"/>
        <v>1</v>
      </c>
      <c r="AE20" s="4">
        <f t="shared" si="76"/>
        <v>1</v>
      </c>
      <c r="AF20" s="4">
        <f t="shared" si="76"/>
        <v>1</v>
      </c>
      <c r="AG20" s="4" t="str">
        <f t="shared" si="76"/>
        <v>.</v>
      </c>
      <c r="AH20" s="4">
        <f t="shared" si="76"/>
        <v>1</v>
      </c>
      <c r="AI20" s="4">
        <f t="shared" si="76"/>
        <v>1</v>
      </c>
      <c r="AJ20" s="4">
        <f t="shared" si="76"/>
        <v>1</v>
      </c>
      <c r="AK20" s="4">
        <f t="shared" si="76"/>
        <v>1</v>
      </c>
      <c r="AL20" s="4" t="str">
        <f t="shared" si="76"/>
        <v>.</v>
      </c>
      <c r="AM20" s="4">
        <f t="shared" si="77"/>
        <v>0</v>
      </c>
      <c r="AN20" s="4">
        <f t="shared" si="77"/>
        <v>1</v>
      </c>
      <c r="AO20" s="4">
        <f t="shared" si="77"/>
        <v>0</v>
      </c>
      <c r="AP20" s="4">
        <f t="shared" si="77"/>
        <v>1</v>
      </c>
      <c r="AQ20" s="4" t="str">
        <f t="shared" si="77"/>
        <v>.</v>
      </c>
      <c r="AR20" s="4">
        <f t="shared" si="77"/>
        <v>1</v>
      </c>
      <c r="AS20" s="4">
        <f t="shared" si="77"/>
        <v>1</v>
      </c>
      <c r="AT20" s="4">
        <f t="shared" si="77"/>
        <v>1</v>
      </c>
      <c r="AU20" s="4">
        <f t="shared" si="77"/>
        <v>1</v>
      </c>
      <c r="BH20" s="10"/>
      <c r="BI20" s="10"/>
      <c r="BJ20" s="10"/>
      <c r="BK20" s="10"/>
      <c r="BL20" s="10"/>
    </row>
    <row r="21" spans="2:64" x14ac:dyDescent="0.2">
      <c r="AC21">
        <f t="shared" ref="AC21:AT21" si="78">MOD(AC18+AC19+AC20,2)</f>
        <v>1</v>
      </c>
      <c r="AD21">
        <f t="shared" si="78"/>
        <v>1</v>
      </c>
      <c r="AE21">
        <f t="shared" si="78"/>
        <v>1</v>
      </c>
      <c r="AF21">
        <f t="shared" si="78"/>
        <v>1</v>
      </c>
      <c r="AH21">
        <f t="shared" si="78"/>
        <v>1</v>
      </c>
      <c r="AI21">
        <f t="shared" si="78"/>
        <v>0</v>
      </c>
      <c r="AJ21">
        <f t="shared" si="78"/>
        <v>1</v>
      </c>
      <c r="AK21">
        <f t="shared" si="78"/>
        <v>0</v>
      </c>
      <c r="AM21">
        <f t="shared" si="78"/>
        <v>1</v>
      </c>
      <c r="AN21">
        <f t="shared" si="78"/>
        <v>0</v>
      </c>
      <c r="AO21">
        <f t="shared" si="78"/>
        <v>1</v>
      </c>
      <c r="AP21">
        <f t="shared" si="78"/>
        <v>0</v>
      </c>
      <c r="AR21">
        <f t="shared" si="78"/>
        <v>1</v>
      </c>
      <c r="AS21">
        <f t="shared" si="78"/>
        <v>1</v>
      </c>
      <c r="AT21">
        <f t="shared" si="78"/>
        <v>0</v>
      </c>
      <c r="AU21">
        <f>MOD(AU18+AU19+AU20,2)</f>
        <v>0</v>
      </c>
      <c r="AV21" t="s">
        <v>49</v>
      </c>
      <c r="AW21" s="9">
        <f>IF(AC21=0,(AU21+AT21*2+AS21*4+AR21*8+AP21*16+AO21*32+AN21*64+AM21*128+AK21*256+AJ21*512+AI21*1024+AH21*2048+AF21*4096+AE21*8192+AD21*16384),(MOD(AU21+1,2)+MOD(AT21+1,2)*2+MOD(AS21+1,2)*4+MOD(AR21+1,2)*8+MOD(AP21+1,2)*16+MOD(AO21+1,2)*32+MOD(AN21+1,2)*64+MOD(AM21+1,2)*128+MOD(AK21+1,2)*256+MOD(AJ21+1,2)*512+MOD(AI21+1,2)*1024+MOD(AH21+1,2)*2048+MOD(AF21+1,2)*4096+MOD(AE21+1,2)*8192+MOD(AD21+1,2)*16384)*-1-1)</f>
        <v>-1364</v>
      </c>
      <c r="BH21" s="10"/>
      <c r="BI21" s="10"/>
      <c r="BJ21" s="10"/>
      <c r="BK21" s="10"/>
      <c r="BL21" s="10"/>
    </row>
    <row r="22" spans="2:64" x14ac:dyDescent="0.2">
      <c r="AY22" s="3"/>
      <c r="AZ22" s="3">
        <f>COUNTIF(AD26:AU26,1)</f>
        <v>8</v>
      </c>
      <c r="BA22" s="3"/>
      <c r="BB22" s="3"/>
      <c r="BC22" s="3"/>
      <c r="BD22" s="3"/>
    </row>
    <row r="23" spans="2:64" x14ac:dyDescent="0.2">
      <c r="AA23" t="s">
        <v>58</v>
      </c>
      <c r="AB23" t="s">
        <v>56</v>
      </c>
      <c r="AC23" s="5">
        <f>IF(AD23+AD24+AD25&gt;=2,1,0)</f>
        <v>1</v>
      </c>
      <c r="AD23" s="5">
        <f t="shared" ref="AD23" si="79">IF(AE23+AE24+AE25&gt;=2,1,0)</f>
        <v>1</v>
      </c>
      <c r="AE23" s="5">
        <f>IF(AF23+AF24+AF25&gt;=2,1,0)</f>
        <v>1</v>
      </c>
      <c r="AF23" s="5">
        <f>IF(AH23+AH24+AH25&gt;=2,1,0)</f>
        <v>1</v>
      </c>
      <c r="AH23" s="5">
        <f t="shared" ref="AH23:AI23" si="80">IF(AI23+AI24+AI25&gt;=2,1,0)</f>
        <v>1</v>
      </c>
      <c r="AI23" s="5">
        <f t="shared" si="80"/>
        <v>1</v>
      </c>
      <c r="AJ23" s="5">
        <f>IF(AK23+AK24+AK25&gt;=2,1,0)</f>
        <v>1</v>
      </c>
      <c r="AK23" s="5">
        <f>IF(AM23+AM24+AM25&gt;=2,1,0)</f>
        <v>1</v>
      </c>
      <c r="AM23" s="5">
        <f t="shared" ref="AM23:AN23" si="81">IF(AN23+AN24+AN25&gt;=2,1,0)</f>
        <v>1</v>
      </c>
      <c r="AN23" s="5">
        <f t="shared" si="81"/>
        <v>1</v>
      </c>
      <c r="AO23" s="5">
        <f>IF(AP23+AP24+AP25&gt;=2,1,0)</f>
        <v>1</v>
      </c>
      <c r="AP23" s="5">
        <f>IF(AR23+AR24+AR25&gt;=2,1,0)</f>
        <v>1</v>
      </c>
      <c r="AR23" s="5">
        <f t="shared" ref="AR23:AS23" si="82">IF(AS23+AS24+AS25&gt;=2,1,0)</f>
        <v>1</v>
      </c>
      <c r="AS23" s="5">
        <f t="shared" si="82"/>
        <v>0</v>
      </c>
      <c r="AT23" s="5">
        <f>IF(AU23+AU24+AU25&gt;=2,1,0)</f>
        <v>0</v>
      </c>
      <c r="AY23" s="7" t="s">
        <v>63</v>
      </c>
      <c r="AZ23" s="7" t="s">
        <v>64</v>
      </c>
      <c r="BA23" s="7" t="s">
        <v>65</v>
      </c>
      <c r="BB23" s="7" t="s">
        <v>66</v>
      </c>
      <c r="BC23" s="7" t="s">
        <v>67</v>
      </c>
      <c r="BD23" s="7" t="s">
        <v>68</v>
      </c>
      <c r="BF23">
        <f>C11</f>
        <v>-161</v>
      </c>
      <c r="BG23">
        <v>-1525</v>
      </c>
      <c r="BH23" s="10" t="s">
        <v>71</v>
      </c>
      <c r="BI23" s="10"/>
      <c r="BJ23" s="10"/>
      <c r="BK23" s="10"/>
      <c r="BL23" s="10"/>
    </row>
    <row r="24" spans="2:64" x14ac:dyDescent="0.2">
      <c r="AB24" t="s">
        <v>57</v>
      </c>
      <c r="AC24">
        <f t="shared" ref="AC24:AL25" si="83">G11</f>
        <v>1</v>
      </c>
      <c r="AD24">
        <f t="shared" si="83"/>
        <v>1</v>
      </c>
      <c r="AE24">
        <f t="shared" si="83"/>
        <v>1</v>
      </c>
      <c r="AF24">
        <f t="shared" si="83"/>
        <v>1</v>
      </c>
      <c r="AG24" t="str">
        <f t="shared" si="83"/>
        <v>.</v>
      </c>
      <c r="AH24">
        <f t="shared" si="83"/>
        <v>1</v>
      </c>
      <c r="AI24">
        <f t="shared" si="83"/>
        <v>1</v>
      </c>
      <c r="AJ24">
        <f t="shared" si="83"/>
        <v>1</v>
      </c>
      <c r="AK24">
        <f t="shared" si="83"/>
        <v>1</v>
      </c>
      <c r="AL24" t="str">
        <f t="shared" si="83"/>
        <v>.</v>
      </c>
      <c r="AM24">
        <f t="shared" ref="AM24:AV25" si="84">Q11</f>
        <v>0</v>
      </c>
      <c r="AN24">
        <f t="shared" si="84"/>
        <v>1</v>
      </c>
      <c r="AO24">
        <f t="shared" si="84"/>
        <v>0</v>
      </c>
      <c r="AP24">
        <f t="shared" si="84"/>
        <v>1</v>
      </c>
      <c r="AQ24" t="str">
        <f t="shared" si="84"/>
        <v>.</v>
      </c>
      <c r="AR24">
        <f t="shared" si="84"/>
        <v>1</v>
      </c>
      <c r="AS24">
        <f t="shared" si="84"/>
        <v>1</v>
      </c>
      <c r="AT24">
        <f t="shared" si="84"/>
        <v>1</v>
      </c>
      <c r="AU24">
        <f t="shared" si="84"/>
        <v>1</v>
      </c>
      <c r="AY24" s="8">
        <f>IF(AC23+AC24&gt;=1,1,0)</f>
        <v>1</v>
      </c>
      <c r="AZ24" s="8">
        <f>IF(MOD(AZ22,2)=0,1,0)</f>
        <v>1</v>
      </c>
      <c r="BA24" s="8">
        <f>AP23</f>
        <v>1</v>
      </c>
      <c r="BB24" s="8">
        <f>IF(SUM(AC26:AU26)=0,1,0)</f>
        <v>0</v>
      </c>
      <c r="BC24" s="8">
        <f>AC26</f>
        <v>1</v>
      </c>
      <c r="BD24" s="8">
        <f>IF(AND(AC23=AC24,AC23&lt;&gt;AC25),1,0)</f>
        <v>0</v>
      </c>
      <c r="BF24">
        <f>C12</f>
        <v>-1364</v>
      </c>
      <c r="BH24" s="10"/>
      <c r="BI24" s="10"/>
      <c r="BJ24" s="10"/>
      <c r="BK24" s="10"/>
      <c r="BL24" s="10"/>
    </row>
    <row r="25" spans="2:64" x14ac:dyDescent="0.2">
      <c r="AC25" s="4">
        <f t="shared" si="83"/>
        <v>1</v>
      </c>
      <c r="AD25" s="4">
        <f t="shared" si="83"/>
        <v>1</v>
      </c>
      <c r="AE25" s="4">
        <f t="shared" si="83"/>
        <v>1</v>
      </c>
      <c r="AF25" s="4">
        <f t="shared" si="83"/>
        <v>1</v>
      </c>
      <c r="AG25" s="4" t="str">
        <f t="shared" si="83"/>
        <v>.</v>
      </c>
      <c r="AH25" s="4">
        <f t="shared" si="83"/>
        <v>1</v>
      </c>
      <c r="AI25" s="4">
        <f t="shared" si="83"/>
        <v>0</v>
      </c>
      <c r="AJ25" s="4">
        <f t="shared" si="83"/>
        <v>1</v>
      </c>
      <c r="AK25" s="4">
        <f t="shared" si="83"/>
        <v>0</v>
      </c>
      <c r="AL25" s="4" t="str">
        <f t="shared" si="83"/>
        <v>.</v>
      </c>
      <c r="AM25" s="4">
        <f t="shared" si="84"/>
        <v>1</v>
      </c>
      <c r="AN25" s="4">
        <f t="shared" si="84"/>
        <v>0</v>
      </c>
      <c r="AO25" s="4">
        <f t="shared" si="84"/>
        <v>1</v>
      </c>
      <c r="AP25" s="4">
        <f t="shared" si="84"/>
        <v>0</v>
      </c>
      <c r="AQ25" s="4" t="str">
        <f t="shared" si="84"/>
        <v>.</v>
      </c>
      <c r="AR25" s="4">
        <f t="shared" si="84"/>
        <v>1</v>
      </c>
      <c r="AS25" s="4">
        <f t="shared" si="84"/>
        <v>1</v>
      </c>
      <c r="AT25" s="4">
        <f t="shared" si="84"/>
        <v>0</v>
      </c>
      <c r="AU25" s="4">
        <f t="shared" si="84"/>
        <v>0</v>
      </c>
      <c r="BH25" s="10"/>
      <c r="BI25" s="10"/>
      <c r="BJ25" s="10"/>
      <c r="BK25" s="10"/>
      <c r="BL25" s="10"/>
    </row>
    <row r="26" spans="2:64" x14ac:dyDescent="0.2">
      <c r="AC26">
        <f t="shared" ref="AC26:AT26" si="85">MOD(AC23+AC24+AC25,2)</f>
        <v>1</v>
      </c>
      <c r="AD26">
        <f t="shared" si="85"/>
        <v>1</v>
      </c>
      <c r="AE26">
        <f t="shared" si="85"/>
        <v>1</v>
      </c>
      <c r="AF26">
        <f t="shared" si="85"/>
        <v>1</v>
      </c>
      <c r="AH26">
        <f t="shared" si="85"/>
        <v>1</v>
      </c>
      <c r="AI26">
        <f t="shared" si="85"/>
        <v>0</v>
      </c>
      <c r="AJ26">
        <f t="shared" si="85"/>
        <v>1</v>
      </c>
      <c r="AK26">
        <f t="shared" si="85"/>
        <v>0</v>
      </c>
      <c r="AM26">
        <f t="shared" si="85"/>
        <v>0</v>
      </c>
      <c r="AN26">
        <f t="shared" si="85"/>
        <v>0</v>
      </c>
      <c r="AO26">
        <f t="shared" si="85"/>
        <v>0</v>
      </c>
      <c r="AP26">
        <f t="shared" si="85"/>
        <v>0</v>
      </c>
      <c r="AR26">
        <f t="shared" si="85"/>
        <v>1</v>
      </c>
      <c r="AS26">
        <f t="shared" si="85"/>
        <v>0</v>
      </c>
      <c r="AT26">
        <f t="shared" si="85"/>
        <v>1</v>
      </c>
      <c r="AU26">
        <f>MOD(AU23+AU24+AU25,2)</f>
        <v>1</v>
      </c>
      <c r="AV26" t="s">
        <v>49</v>
      </c>
      <c r="AW26">
        <f>IF(AC26=0,(AU26+AT26*2+AS26*4+AR26*8+AP26*16+AO26*32+AN26*64+AM26*128+AK26*256+AJ26*512+AI26*1024+AH26*2048+AF26*4096+AE26*8192+AD26*16384),(MOD(AU26+1,2)+MOD(AT26+1,2)*2+MOD(AS26+1,2)*4+MOD(AR26+1,2)*8+MOD(AP26+1,2)*16+MOD(AO26+1,2)*32+MOD(AN26+1,2)*64+MOD(AM26+1,2)*128+MOD(AK26+1,2)*256+MOD(AJ26+1,2)*512+MOD(AI26+1,2)*1024+MOD(AH26+1,2)*2048+MOD(AF26+1,2)*4096+MOD(AE26+1,2)*8192+MOD(AD26+1,2)*16384)*-1-1)</f>
        <v>-1525</v>
      </c>
      <c r="BH26" s="10"/>
      <c r="BI26" s="10"/>
      <c r="BJ26" s="10"/>
      <c r="BK26" s="10"/>
      <c r="BL26" s="10"/>
    </row>
    <row r="27" spans="2:64" x14ac:dyDescent="0.2">
      <c r="AY27" s="3"/>
      <c r="AZ27" s="3">
        <f>COUNTIF(AD31:AU31,1)</f>
        <v>3</v>
      </c>
      <c r="BA27" s="3"/>
      <c r="BB27" s="3"/>
      <c r="BC27" s="3"/>
      <c r="BD27" s="3"/>
    </row>
    <row r="28" spans="2:64" x14ac:dyDescent="0.2">
      <c r="AA28" t="s">
        <v>59</v>
      </c>
      <c r="AB28" t="s">
        <v>47</v>
      </c>
      <c r="AC28" s="5">
        <f>IF(AD28+AD29+AD30&gt;=2,1,0)</f>
        <v>1</v>
      </c>
      <c r="AD28" s="5">
        <f t="shared" ref="AD28" si="86">IF(AE28+AE29+AE30&gt;=2,1,0)</f>
        <v>1</v>
      </c>
      <c r="AE28" s="5">
        <f>IF(AF28+AF29+AF30&gt;=2,1,0)</f>
        <v>1</v>
      </c>
      <c r="AF28" s="5">
        <f>IF(AH28+AH29+AH30&gt;=2,1,0)</f>
        <v>1</v>
      </c>
      <c r="AH28" s="5">
        <f t="shared" ref="AH28:AI28" si="87">IF(AI28+AI29+AI30&gt;=2,1,0)</f>
        <v>1</v>
      </c>
      <c r="AI28" s="5">
        <f t="shared" si="87"/>
        <v>1</v>
      </c>
      <c r="AJ28" s="5">
        <f>IF(AK28+AK29+AK30&gt;=2,1,0)</f>
        <v>1</v>
      </c>
      <c r="AK28" s="5">
        <f>IF(AM28+AM29+AM30&gt;=2,1,0)</f>
        <v>1</v>
      </c>
      <c r="AM28" s="5">
        <f t="shared" ref="AM28:AN28" si="88">IF(AN28+AN29+AN30&gt;=2,1,0)</f>
        <v>1</v>
      </c>
      <c r="AN28" s="5">
        <f t="shared" si="88"/>
        <v>1</v>
      </c>
      <c r="AO28" s="5">
        <f>IF(AP28+AP29+AP30&gt;=2,1,0)</f>
        <v>1</v>
      </c>
      <c r="AP28" s="5">
        <f>IF(AR28+AR29+AR30&gt;=2,1,0)</f>
        <v>1</v>
      </c>
      <c r="AR28" s="5">
        <f t="shared" ref="AR28:AS28" si="89">IF(AS28+AS29+AS30&gt;=2,1,0)</f>
        <v>1</v>
      </c>
      <c r="AS28" s="5">
        <f t="shared" si="89"/>
        <v>1</v>
      </c>
      <c r="AT28" s="5">
        <f>IF(AU28+AU29+AU30&gt;=2,1,0)</f>
        <v>1</v>
      </c>
      <c r="AY28" s="7" t="s">
        <v>63</v>
      </c>
      <c r="AZ28" s="7" t="s">
        <v>64</v>
      </c>
      <c r="BA28" s="7" t="s">
        <v>65</v>
      </c>
      <c r="BB28" s="7" t="s">
        <v>66</v>
      </c>
      <c r="BC28" s="7" t="s">
        <v>67</v>
      </c>
      <c r="BD28" s="7" t="s">
        <v>68</v>
      </c>
      <c r="BF28">
        <f>C4</f>
        <v>1203</v>
      </c>
      <c r="BG28">
        <v>1042</v>
      </c>
      <c r="BH28" s="10" t="s">
        <v>71</v>
      </c>
      <c r="BI28" s="10"/>
      <c r="BJ28" s="10"/>
      <c r="BK28" s="10"/>
      <c r="BL28" s="10"/>
    </row>
    <row r="29" spans="2:64" x14ac:dyDescent="0.2">
      <c r="AB29" t="s">
        <v>56</v>
      </c>
      <c r="AC29">
        <f t="shared" ref="AC29:AU29" si="90">G4</f>
        <v>0</v>
      </c>
      <c r="AD29">
        <f t="shared" si="90"/>
        <v>0</v>
      </c>
      <c r="AE29">
        <f t="shared" si="90"/>
        <v>0</v>
      </c>
      <c r="AF29">
        <f t="shared" si="90"/>
        <v>0</v>
      </c>
      <c r="AG29" t="str">
        <f t="shared" si="90"/>
        <v>.</v>
      </c>
      <c r="AH29">
        <f t="shared" si="90"/>
        <v>0</v>
      </c>
      <c r="AI29">
        <f t="shared" si="90"/>
        <v>1</v>
      </c>
      <c r="AJ29">
        <f t="shared" si="90"/>
        <v>0</v>
      </c>
      <c r="AK29">
        <f t="shared" si="90"/>
        <v>0</v>
      </c>
      <c r="AL29" t="str">
        <f t="shared" si="90"/>
        <v>.</v>
      </c>
      <c r="AM29">
        <f t="shared" si="90"/>
        <v>1</v>
      </c>
      <c r="AN29">
        <f t="shared" si="90"/>
        <v>0</v>
      </c>
      <c r="AO29">
        <f t="shared" si="90"/>
        <v>1</v>
      </c>
      <c r="AP29">
        <f t="shared" si="90"/>
        <v>1</v>
      </c>
      <c r="AQ29" t="str">
        <f t="shared" si="90"/>
        <v>.</v>
      </c>
      <c r="AR29">
        <f t="shared" si="90"/>
        <v>0</v>
      </c>
      <c r="AS29">
        <f t="shared" si="90"/>
        <v>0</v>
      </c>
      <c r="AT29">
        <f t="shared" si="90"/>
        <v>1</v>
      </c>
      <c r="AU29">
        <f t="shared" si="90"/>
        <v>1</v>
      </c>
      <c r="AY29" s="8">
        <f>IF(AC28+AC29&gt;=1,1,0)</f>
        <v>1</v>
      </c>
      <c r="AZ29" s="8">
        <f>IF(MOD(AZ27,2)=0,1,0)</f>
        <v>0</v>
      </c>
      <c r="BA29" s="8">
        <f>AP28</f>
        <v>1</v>
      </c>
      <c r="BB29" s="8">
        <f>IF(SUM(AC31:AU31)=0,1,0)</f>
        <v>0</v>
      </c>
      <c r="BC29" s="8">
        <f>AC31</f>
        <v>0</v>
      </c>
      <c r="BD29" s="8">
        <f>IF(AND(AC28=AC29,AC28&lt;&gt;AC30),1,0)</f>
        <v>0</v>
      </c>
      <c r="BF29">
        <f>C11</f>
        <v>-161</v>
      </c>
      <c r="BH29" s="10"/>
      <c r="BI29" s="10"/>
      <c r="BJ29" s="10"/>
      <c r="BK29" s="10"/>
      <c r="BL29" s="10"/>
    </row>
    <row r="30" spans="2:64" x14ac:dyDescent="0.2">
      <c r="AC30" s="4">
        <f t="shared" ref="AC30:AU30" si="91">G11</f>
        <v>1</v>
      </c>
      <c r="AD30" s="4">
        <f t="shared" si="91"/>
        <v>1</v>
      </c>
      <c r="AE30" s="4">
        <f t="shared" si="91"/>
        <v>1</v>
      </c>
      <c r="AF30" s="4">
        <f t="shared" si="91"/>
        <v>1</v>
      </c>
      <c r="AG30" s="4" t="str">
        <f t="shared" si="91"/>
        <v>.</v>
      </c>
      <c r="AH30" s="4">
        <f t="shared" si="91"/>
        <v>1</v>
      </c>
      <c r="AI30" s="4">
        <f t="shared" si="91"/>
        <v>1</v>
      </c>
      <c r="AJ30" s="4">
        <f t="shared" si="91"/>
        <v>1</v>
      </c>
      <c r="AK30" s="4">
        <f t="shared" si="91"/>
        <v>1</v>
      </c>
      <c r="AL30" s="4" t="str">
        <f t="shared" si="91"/>
        <v>.</v>
      </c>
      <c r="AM30" s="4">
        <f t="shared" si="91"/>
        <v>0</v>
      </c>
      <c r="AN30" s="4">
        <f t="shared" si="91"/>
        <v>1</v>
      </c>
      <c r="AO30" s="4">
        <f t="shared" si="91"/>
        <v>0</v>
      </c>
      <c r="AP30" s="4">
        <f t="shared" si="91"/>
        <v>1</v>
      </c>
      <c r="AQ30" s="4" t="str">
        <f t="shared" si="91"/>
        <v>.</v>
      </c>
      <c r="AR30" s="4">
        <f t="shared" si="91"/>
        <v>1</v>
      </c>
      <c r="AS30" s="4">
        <f t="shared" si="91"/>
        <v>1</v>
      </c>
      <c r="AT30" s="4">
        <f t="shared" si="91"/>
        <v>1</v>
      </c>
      <c r="AU30" s="4">
        <f t="shared" si="91"/>
        <v>1</v>
      </c>
      <c r="BH30" s="10"/>
      <c r="BI30" s="10"/>
      <c r="BJ30" s="10"/>
      <c r="BK30" s="10"/>
      <c r="BL30" s="10"/>
    </row>
    <row r="31" spans="2:64" x14ac:dyDescent="0.2">
      <c r="AC31">
        <f t="shared" ref="AC31:AT31" si="92">MOD(AC28+AC29+AC30,2)</f>
        <v>0</v>
      </c>
      <c r="AD31">
        <f t="shared" si="92"/>
        <v>0</v>
      </c>
      <c r="AE31">
        <f t="shared" si="92"/>
        <v>0</v>
      </c>
      <c r="AF31">
        <f t="shared" si="92"/>
        <v>0</v>
      </c>
      <c r="AH31">
        <f t="shared" si="92"/>
        <v>0</v>
      </c>
      <c r="AI31">
        <f t="shared" si="92"/>
        <v>1</v>
      </c>
      <c r="AJ31">
        <f t="shared" si="92"/>
        <v>0</v>
      </c>
      <c r="AK31">
        <f t="shared" si="92"/>
        <v>0</v>
      </c>
      <c r="AM31">
        <f t="shared" si="92"/>
        <v>0</v>
      </c>
      <c r="AN31">
        <f t="shared" si="92"/>
        <v>0</v>
      </c>
      <c r="AO31">
        <f t="shared" si="92"/>
        <v>0</v>
      </c>
      <c r="AP31">
        <f t="shared" si="92"/>
        <v>1</v>
      </c>
      <c r="AR31">
        <f t="shared" si="92"/>
        <v>0</v>
      </c>
      <c r="AS31">
        <f t="shared" si="92"/>
        <v>0</v>
      </c>
      <c r="AT31">
        <f t="shared" si="92"/>
        <v>1</v>
      </c>
      <c r="AU31">
        <f>MOD(AU28+AU29+AU30,2)</f>
        <v>0</v>
      </c>
      <c r="AV31" t="s">
        <v>53</v>
      </c>
      <c r="AW31" s="9">
        <f>IF(AC31=0,(AU31+AT31*2+AS31*4+AR31*8+AP31*16+AO31*32+AN31*64+AM31*128+AK31*256+AJ31*512+AI31*1024+AH31*2048+AF31*4096+AE31*8192+AD31*16384),(MOD(AU31+1,2)+MOD(AT31+1,2)*2+MOD(AS31+1,2)*4+MOD(AR31+1,2)*8+MOD(AP31+1,2)*16+MOD(AO31+1,2)*32+MOD(AN31+1,2)*64+MOD(AM31+1,2)*128+MOD(AK31+1,2)*256+MOD(AJ31+1,2)*512+MOD(AI31+1,2)*1024+MOD(AH31+1,2)*2048+MOD(AF31+1,2)*4096+MOD(AE31+1,2)*8192+MOD(AD31+1,2)*16384)*-1-1)</f>
        <v>1042</v>
      </c>
      <c r="BH31" s="10"/>
      <c r="BI31" s="10"/>
      <c r="BJ31" s="10"/>
      <c r="BK31" s="10"/>
      <c r="BL31" s="10"/>
    </row>
    <row r="32" spans="2:64" x14ac:dyDescent="0.2">
      <c r="AY32" s="3"/>
      <c r="AZ32" s="3">
        <f>COUNTIF(AD36:AU36,1)</f>
        <v>6</v>
      </c>
      <c r="BA32" s="3"/>
      <c r="BB32" s="3"/>
      <c r="BC32" s="3"/>
      <c r="BD32" s="3"/>
    </row>
    <row r="33" spans="27:64" x14ac:dyDescent="0.2">
      <c r="AC33" s="5">
        <f>IF(AD33+AD34+AD35&gt;=2,1,0)</f>
        <v>0</v>
      </c>
      <c r="AD33" s="5">
        <f t="shared" ref="AD33" si="93">IF(AE33+AE34+AE35&gt;=2,1,0)</f>
        <v>0</v>
      </c>
      <c r="AE33" s="5">
        <f>IF(AF33+AF34+AF35&gt;=2,1,0)</f>
        <v>0</v>
      </c>
      <c r="AF33" s="5">
        <f>IF(AH33+AH34+AH35&gt;=2,1,0)</f>
        <v>0</v>
      </c>
      <c r="AH33" s="5">
        <f>IF(AI33+AI34+AI35&gt;=2,1,0)</f>
        <v>1</v>
      </c>
      <c r="AI33" s="5">
        <f t="shared" ref="AI33" si="94">IF(AJ33+AJ34+AJ35&gt;=2,1,0)</f>
        <v>0</v>
      </c>
      <c r="AJ33" s="5">
        <f>IF(AK33+AK34+AK35&gt;=2,1,0)</f>
        <v>0</v>
      </c>
      <c r="AK33" s="5">
        <f>IF(AM33+AM34+AM35&gt;=2,1,0)</f>
        <v>0</v>
      </c>
      <c r="AM33" s="5">
        <f t="shared" ref="AM33:AN33" si="95">IF(AN33+AN34+AN35&gt;=2,1,0)</f>
        <v>0</v>
      </c>
      <c r="AN33" s="5">
        <f t="shared" si="95"/>
        <v>0</v>
      </c>
      <c r="AO33" s="5">
        <f>IF(AP33+AP34+AP35&gt;=2,1,0)</f>
        <v>1</v>
      </c>
      <c r="AP33" s="5">
        <f>IF(AR33+AR34+AR35&gt;=2,1,0)</f>
        <v>0</v>
      </c>
      <c r="AR33" s="5">
        <f t="shared" ref="AR33:AS33" si="96">IF(AS33+AS34+AS35&gt;=2,1,0)</f>
        <v>0</v>
      </c>
      <c r="AS33" s="5">
        <f t="shared" si="96"/>
        <v>0</v>
      </c>
      <c r="AT33" s="5">
        <f>IF(AU33+AU34+AU35&gt;=2,1,0)</f>
        <v>0</v>
      </c>
      <c r="AY33" s="7" t="s">
        <v>63</v>
      </c>
      <c r="AZ33" s="7" t="s">
        <v>64</v>
      </c>
      <c r="BA33" s="7" t="s">
        <v>65</v>
      </c>
      <c r="BB33" s="7" t="s">
        <v>66</v>
      </c>
      <c r="BC33" s="7" t="s">
        <v>67</v>
      </c>
      <c r="BD33" s="7" t="s">
        <v>68</v>
      </c>
      <c r="BF33">
        <f>C14</f>
        <v>1042</v>
      </c>
      <c r="BG33">
        <v>2406</v>
      </c>
      <c r="BH33" s="10" t="s">
        <v>71</v>
      </c>
      <c r="BI33" s="10"/>
      <c r="BJ33" s="10"/>
      <c r="BK33" s="10"/>
      <c r="BL33" s="10"/>
    </row>
    <row r="34" spans="27:64" x14ac:dyDescent="0.2">
      <c r="AA34" t="s">
        <v>60</v>
      </c>
      <c r="AB34" t="s">
        <v>61</v>
      </c>
      <c r="AC34">
        <f t="shared" ref="AC34:AU34" si="97">G14</f>
        <v>0</v>
      </c>
      <c r="AD34">
        <f t="shared" si="97"/>
        <v>0</v>
      </c>
      <c r="AE34">
        <f t="shared" si="97"/>
        <v>0</v>
      </c>
      <c r="AF34">
        <f t="shared" si="97"/>
        <v>0</v>
      </c>
      <c r="AG34" t="str">
        <f t="shared" si="97"/>
        <v>.</v>
      </c>
      <c r="AH34">
        <f t="shared" si="97"/>
        <v>0</v>
      </c>
      <c r="AI34">
        <f t="shared" si="97"/>
        <v>1</v>
      </c>
      <c r="AJ34">
        <f t="shared" si="97"/>
        <v>0</v>
      </c>
      <c r="AK34">
        <f t="shared" si="97"/>
        <v>0</v>
      </c>
      <c r="AL34" t="str">
        <f t="shared" si="97"/>
        <v>.</v>
      </c>
      <c r="AM34">
        <f t="shared" si="97"/>
        <v>0</v>
      </c>
      <c r="AN34">
        <f t="shared" si="97"/>
        <v>0</v>
      </c>
      <c r="AO34">
        <f t="shared" si="97"/>
        <v>0</v>
      </c>
      <c r="AP34">
        <f t="shared" si="97"/>
        <v>1</v>
      </c>
      <c r="AQ34" t="str">
        <f t="shared" si="97"/>
        <v>.</v>
      </c>
      <c r="AR34">
        <f t="shared" si="97"/>
        <v>0</v>
      </c>
      <c r="AS34">
        <f t="shared" si="97"/>
        <v>0</v>
      </c>
      <c r="AT34">
        <f t="shared" si="97"/>
        <v>1</v>
      </c>
      <c r="AU34">
        <f t="shared" si="97"/>
        <v>0</v>
      </c>
      <c r="AY34" s="8">
        <f>IF(AC33+AC34&gt;=1,1,0)</f>
        <v>0</v>
      </c>
      <c r="AZ34" s="8">
        <f>IF(MOD(AZ32,2)=0,1,0)</f>
        <v>1</v>
      </c>
      <c r="BA34" s="8">
        <f>AP33</f>
        <v>0</v>
      </c>
      <c r="BB34" s="8">
        <f>IF(SUM(AC36:AU36)=0,1,0)</f>
        <v>0</v>
      </c>
      <c r="BC34" s="8">
        <f>AC36</f>
        <v>0</v>
      </c>
      <c r="BD34" s="8">
        <f>IF(AND(AC33=AC34,AC33&lt;&gt;AC35),1,0)</f>
        <v>0</v>
      </c>
      <c r="BF34">
        <f>C6</f>
        <v>1364</v>
      </c>
      <c r="BH34" s="10"/>
      <c r="BI34" s="10"/>
      <c r="BJ34" s="10"/>
      <c r="BK34" s="10"/>
      <c r="BL34" s="10"/>
    </row>
    <row r="35" spans="27:64" x14ac:dyDescent="0.2">
      <c r="AB35" t="s">
        <v>51</v>
      </c>
      <c r="AC35" s="4">
        <f t="shared" ref="AC35:AU35" si="98">G6</f>
        <v>0</v>
      </c>
      <c r="AD35" s="4">
        <f t="shared" si="98"/>
        <v>0</v>
      </c>
      <c r="AE35" s="4">
        <f t="shared" si="98"/>
        <v>0</v>
      </c>
      <c r="AF35" s="4">
        <f t="shared" si="98"/>
        <v>0</v>
      </c>
      <c r="AG35" s="4" t="str">
        <f t="shared" si="98"/>
        <v>.</v>
      </c>
      <c r="AH35" s="4">
        <f t="shared" si="98"/>
        <v>0</v>
      </c>
      <c r="AI35" s="4">
        <f t="shared" si="98"/>
        <v>1</v>
      </c>
      <c r="AJ35" s="4">
        <f t="shared" si="98"/>
        <v>0</v>
      </c>
      <c r="AK35" s="4">
        <f t="shared" si="98"/>
        <v>1</v>
      </c>
      <c r="AL35" s="4" t="str">
        <f t="shared" si="98"/>
        <v>.</v>
      </c>
      <c r="AM35" s="4">
        <f t="shared" si="98"/>
        <v>0</v>
      </c>
      <c r="AN35" s="4">
        <f t="shared" si="98"/>
        <v>1</v>
      </c>
      <c r="AO35" s="4">
        <f t="shared" si="98"/>
        <v>0</v>
      </c>
      <c r="AP35" s="4">
        <f t="shared" si="98"/>
        <v>1</v>
      </c>
      <c r="AQ35" s="4" t="str">
        <f t="shared" si="98"/>
        <v>.</v>
      </c>
      <c r="AR35" s="4">
        <f t="shared" si="98"/>
        <v>0</v>
      </c>
      <c r="AS35" s="4">
        <f t="shared" si="98"/>
        <v>1</v>
      </c>
      <c r="AT35" s="4">
        <f t="shared" si="98"/>
        <v>0</v>
      </c>
      <c r="AU35" s="4">
        <f t="shared" si="98"/>
        <v>0</v>
      </c>
      <c r="AY35" s="6"/>
      <c r="AZ35" s="6"/>
      <c r="BA35" s="6"/>
      <c r="BB35" s="6"/>
      <c r="BC35" s="6"/>
      <c r="BD35" s="6"/>
      <c r="BH35" s="10"/>
      <c r="BI35" s="10"/>
      <c r="BJ35" s="10"/>
      <c r="BK35" s="10"/>
      <c r="BL35" s="10"/>
    </row>
    <row r="36" spans="27:64" x14ac:dyDescent="0.2">
      <c r="AC36">
        <f t="shared" ref="AC36:AT36" si="99">MOD(AC33+AC34+AC35,2)</f>
        <v>0</v>
      </c>
      <c r="AD36">
        <f t="shared" si="99"/>
        <v>0</v>
      </c>
      <c r="AE36">
        <f t="shared" si="99"/>
        <v>0</v>
      </c>
      <c r="AF36">
        <f t="shared" si="99"/>
        <v>0</v>
      </c>
      <c r="AH36">
        <f t="shared" si="99"/>
        <v>1</v>
      </c>
      <c r="AI36">
        <f t="shared" si="99"/>
        <v>0</v>
      </c>
      <c r="AJ36">
        <f t="shared" si="99"/>
        <v>0</v>
      </c>
      <c r="AK36">
        <f t="shared" si="99"/>
        <v>1</v>
      </c>
      <c r="AM36">
        <f t="shared" si="99"/>
        <v>0</v>
      </c>
      <c r="AN36">
        <f t="shared" si="99"/>
        <v>1</v>
      </c>
      <c r="AO36">
        <f t="shared" si="99"/>
        <v>1</v>
      </c>
      <c r="AP36">
        <f t="shared" si="99"/>
        <v>0</v>
      </c>
      <c r="AR36">
        <f t="shared" si="99"/>
        <v>0</v>
      </c>
      <c r="AS36">
        <f t="shared" si="99"/>
        <v>1</v>
      </c>
      <c r="AT36">
        <f t="shared" si="99"/>
        <v>1</v>
      </c>
      <c r="AU36">
        <f>MOD(AU33+AU34+AU35,2)</f>
        <v>0</v>
      </c>
      <c r="AV36" t="s">
        <v>49</v>
      </c>
      <c r="AW36" s="9">
        <f>IF(AC36=0,(AU36+AT36*2+AS36*4+AR36*8+AP36*16+AO36*32+AN36*64+AM36*128+AK36*256+AJ36*512+AI36*1024+AH36*2048+AF36*4096+AE36*8192+AD36*16384),(MOD(AU36+1,2)+MOD(AT36+1,2)*2+MOD(AS36+1,2)*4+MOD(AR36+1,2)*8+MOD(AP36+1,2)*16+MOD(AO36+1,2)*32+MOD(AN36+1,2)*64+MOD(AM36+1,2)*128+MOD(AK36+1,2)*256+MOD(AJ36+1,2)*512+MOD(AI36+1,2)*1024+MOD(AH36+1,2)*2048+MOD(AF36+1,2)*4096+MOD(AE36+1,2)*8192+MOD(AD36+1,2)*16384)*-1-1)</f>
        <v>2406</v>
      </c>
      <c r="BH36" s="10"/>
      <c r="BI36" s="10"/>
      <c r="BJ36" s="10"/>
      <c r="BK36" s="10"/>
      <c r="BL36" s="10"/>
    </row>
  </sheetData>
  <mergeCells count="8">
    <mergeCell ref="BH28:BL31"/>
    <mergeCell ref="BH33:BL36"/>
    <mergeCell ref="BH8:BL11"/>
    <mergeCell ref="BH23:BL26"/>
    <mergeCell ref="B18:E18"/>
    <mergeCell ref="BH3:BL6"/>
    <mergeCell ref="BH13:BL16"/>
    <mergeCell ref="BH18:BL21"/>
  </mergeCells>
  <conditionalFormatting sqref="G7">
    <cfRule type="cellIs" dxfId="1" priority="2" operator="equal">
      <formula>1</formula>
    </cfRule>
  </conditionalFormatting>
  <conditionalFormatting sqref="G4:Y7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/>
  <headerFooter>
    <oddHeader>&amp;LПетрова Анастасия &amp;C    Вариант-16&amp;RОсновное задание</oddHeader>
    <oddFooter xml:space="preserve">&amp;C    
29 ноября 2022 г. 01:10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FEA7-7740-5B41-87B5-E7A5BBC9D9CC}">
  <sheetPr codeName="Лист2"/>
  <dimension ref="A1"/>
  <sheetViews>
    <sheetView workbookViewId="0"/>
  </sheetViews>
  <sheetFormatPr baseColWidth="10" defaultRowHeight="16" x14ac:dyDescent="0.2"/>
  <sheetData>
    <row r="1" spans="1:1" x14ac:dyDescent="0.2">
      <c r="A1">
        <f>POWER(2,16)</f>
        <v>65536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BC31-C215-954C-9E2B-AD314D5B8C34}">
  <sheetPr codeName="Лист3"/>
  <dimension ref="B2"/>
  <sheetViews>
    <sheetView workbookViewId="0">
      <selection activeCell="D2" sqref="D2"/>
    </sheetView>
  </sheetViews>
  <sheetFormatPr baseColWidth="10" defaultRowHeight="16" x14ac:dyDescent="0.2"/>
  <sheetData>
    <row r="2" spans="2:2" x14ac:dyDescent="0.2">
      <c r="B2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Лист5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Anastasiia</cp:lastModifiedBy>
  <dcterms:created xsi:type="dcterms:W3CDTF">2022-11-27T17:43:58Z</dcterms:created>
  <dcterms:modified xsi:type="dcterms:W3CDTF">2022-12-20T19:11:02Z</dcterms:modified>
</cp:coreProperties>
</file>