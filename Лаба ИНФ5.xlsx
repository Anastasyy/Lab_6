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anastasiia/ITMO/"/>
    </mc:Choice>
  </mc:AlternateContent>
  <xr:revisionPtr revIDLastSave="0" documentId="13_ncr:1_{2BBCF8A8-9F6E-254A-95D9-D1A8F4A4004F}" xr6:coauthVersionLast="47" xr6:coauthVersionMax="47" xr10:uidLastSave="{00000000-0000-0000-0000-000000000000}"/>
  <bookViews>
    <workbookView xWindow="5760" yWindow="2940" windowWidth="27840" windowHeight="16940" activeTab="1" xr2:uid="{43FBA39A-1846-7542-941C-DC06409DFD9C}"/>
  </bookViews>
  <sheets>
    <sheet name="Лист2" sheetId="2" r:id="rId1"/>
    <sheet name="Лист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1" l="1"/>
  <c r="AM5" i="1"/>
  <c r="AP5" i="1"/>
  <c r="AQ5" i="1"/>
  <c r="AT5" i="1"/>
  <c r="AJ4" i="1"/>
  <c r="AL4" i="1"/>
  <c r="AN4" i="1"/>
  <c r="AQ4" i="1"/>
  <c r="AS4" i="1"/>
  <c r="AG5" i="1"/>
  <c r="AE5" i="1"/>
  <c r="AG4" i="1"/>
  <c r="AF4" i="1"/>
  <c r="AE4" i="1"/>
  <c r="AD4" i="1"/>
  <c r="H4" i="1"/>
  <c r="Y5" i="1"/>
  <c r="AU5" i="1" s="1"/>
  <c r="X5" i="1"/>
  <c r="X4" i="1"/>
  <c r="AT4" i="1" s="1"/>
  <c r="AS3" i="1" s="1"/>
  <c r="AS6" i="1" s="1"/>
  <c r="W5" i="1"/>
  <c r="AS5" i="1" s="1"/>
  <c r="AR3" i="1" s="1"/>
  <c r="V5" i="1"/>
  <c r="AR5" i="1" s="1"/>
  <c r="S5" i="1"/>
  <c r="AO5" i="1" s="1"/>
  <c r="R5" i="1"/>
  <c r="AN5" i="1" s="1"/>
  <c r="Q5" i="1"/>
  <c r="O5" i="1"/>
  <c r="AK5" i="1" s="1"/>
  <c r="N5" i="1"/>
  <c r="AJ5" i="1" s="1"/>
  <c r="M5" i="1"/>
  <c r="AI5" i="1" s="1"/>
  <c r="L5" i="1"/>
  <c r="AH5" i="1" s="1"/>
  <c r="J5" i="1"/>
  <c r="AF5" i="1" s="1"/>
  <c r="I5" i="1"/>
  <c r="H5" i="1"/>
  <c r="AD5" i="1" s="1"/>
  <c r="G5" i="1"/>
  <c r="AC5" i="1" s="1"/>
  <c r="Y4" i="1"/>
  <c r="AU4" i="1" s="1"/>
  <c r="W4" i="1"/>
  <c r="V4" i="1"/>
  <c r="AR4" i="1" s="1"/>
  <c r="T4" i="1"/>
  <c r="AP4" i="1" s="1"/>
  <c r="S4" i="1"/>
  <c r="AO4" i="1" s="1"/>
  <c r="R4" i="1"/>
  <c r="Q4" i="1"/>
  <c r="AM4" i="1" s="1"/>
  <c r="O4" i="1"/>
  <c r="AK4" i="1" s="1"/>
  <c r="N4" i="1"/>
  <c r="M4" i="1"/>
  <c r="AI4" i="1" s="1"/>
  <c r="L4" i="1"/>
  <c r="AH4" i="1" s="1"/>
  <c r="J4" i="1"/>
  <c r="I4" i="1"/>
  <c r="G4" i="1"/>
  <c r="AC4" i="1" s="1"/>
  <c r="AU6" i="1" l="1"/>
  <c r="AT3" i="1"/>
  <c r="AT6" i="1" s="1"/>
  <c r="AP3" i="1"/>
  <c r="AR6" i="1"/>
  <c r="C14" i="1"/>
  <c r="C13" i="1"/>
  <c r="C12" i="1"/>
  <c r="C11" i="1"/>
  <c r="C10" i="1"/>
  <c r="C8" i="1"/>
  <c r="C7" i="1"/>
  <c r="C6" i="1"/>
  <c r="W10" i="1" l="1"/>
  <c r="J10" i="1"/>
  <c r="X10" i="1"/>
  <c r="L10" i="1"/>
  <c r="Q10" i="1"/>
  <c r="G10" i="1"/>
  <c r="T10" i="1"/>
  <c r="N10" i="1"/>
  <c r="H10" i="1"/>
  <c r="R10" i="1"/>
  <c r="V10" i="1"/>
  <c r="O10" i="1"/>
  <c r="I10" i="1"/>
  <c r="Y10" i="1"/>
  <c r="S10" i="1"/>
  <c r="M10" i="1"/>
  <c r="R12" i="1"/>
  <c r="V12" i="1"/>
  <c r="Y12" i="1"/>
  <c r="S12" i="1"/>
  <c r="M12" i="1"/>
  <c r="X12" i="1"/>
  <c r="L12" i="1"/>
  <c r="H12" i="1"/>
  <c r="O12" i="1"/>
  <c r="I12" i="1"/>
  <c r="W12" i="1"/>
  <c r="Q12" i="1"/>
  <c r="J12" i="1"/>
  <c r="G12" i="1"/>
  <c r="T12" i="1"/>
  <c r="N12" i="1"/>
  <c r="G14" i="1"/>
  <c r="T14" i="1"/>
  <c r="N14" i="1"/>
  <c r="O14" i="1"/>
  <c r="I14" i="1"/>
  <c r="V14" i="1"/>
  <c r="X14" i="1"/>
  <c r="R14" i="1"/>
  <c r="L14" i="1"/>
  <c r="Y14" i="1"/>
  <c r="S14" i="1"/>
  <c r="M14" i="1"/>
  <c r="W14" i="1"/>
  <c r="Q14" i="1"/>
  <c r="J14" i="1"/>
  <c r="H14" i="1"/>
  <c r="R6" i="1"/>
  <c r="O6" i="1"/>
  <c r="M6" i="1"/>
  <c r="J6" i="1"/>
  <c r="H6" i="1"/>
  <c r="X6" i="1"/>
  <c r="S6" i="1"/>
  <c r="Q6" i="1"/>
  <c r="N6" i="1"/>
  <c r="L6" i="1"/>
  <c r="I6" i="1"/>
  <c r="G6" i="1"/>
  <c r="Y6" i="1"/>
  <c r="V6" i="1"/>
  <c r="W6" i="1"/>
  <c r="R7" i="1"/>
  <c r="O7" i="1"/>
  <c r="M7" i="1"/>
  <c r="J7" i="1"/>
  <c r="X7" i="1"/>
  <c r="S7" i="1"/>
  <c r="Q7" i="1"/>
  <c r="L7" i="1"/>
  <c r="I7" i="1"/>
  <c r="H7" i="1"/>
  <c r="V7" i="1"/>
  <c r="N7" i="1"/>
  <c r="G7" i="1"/>
  <c r="Y7" i="1"/>
  <c r="W7" i="1"/>
  <c r="R8" i="1"/>
  <c r="M8" i="1"/>
  <c r="J8" i="1"/>
  <c r="O8" i="1"/>
  <c r="H8" i="1"/>
  <c r="X8" i="1"/>
  <c r="V8" i="1"/>
  <c r="S8" i="1"/>
  <c r="Q8" i="1"/>
  <c r="N8" i="1"/>
  <c r="L8" i="1"/>
  <c r="I8" i="1"/>
  <c r="G8" i="1"/>
  <c r="Y8" i="1"/>
  <c r="W8" i="1"/>
  <c r="X11" i="1"/>
  <c r="R11" i="1"/>
  <c r="L11" i="1"/>
  <c r="I11" i="1"/>
  <c r="S11" i="1"/>
  <c r="M11" i="1"/>
  <c r="O11" i="1"/>
  <c r="H11" i="1"/>
  <c r="Y11" i="1"/>
  <c r="W11" i="1"/>
  <c r="Q11" i="1"/>
  <c r="J11" i="1"/>
  <c r="V11" i="1"/>
  <c r="G11" i="1"/>
  <c r="T11" i="1"/>
  <c r="N11" i="1"/>
  <c r="G13" i="1"/>
  <c r="T13" i="1"/>
  <c r="N13" i="1"/>
  <c r="R13" i="1"/>
  <c r="O13" i="1"/>
  <c r="S13" i="1"/>
  <c r="M13" i="1"/>
  <c r="V13" i="1"/>
  <c r="X13" i="1"/>
  <c r="L13" i="1"/>
  <c r="I13" i="1"/>
  <c r="Y13" i="1"/>
  <c r="W13" i="1"/>
  <c r="Q13" i="1"/>
  <c r="J13" i="1"/>
  <c r="H13" i="1"/>
  <c r="AP6" i="1"/>
  <c r="AO3" i="1"/>
  <c r="C9" i="1"/>
  <c r="O9" i="1" l="1"/>
  <c r="H9" i="1"/>
  <c r="M9" i="1"/>
  <c r="X9" i="1"/>
  <c r="R9" i="1"/>
  <c r="J9" i="1"/>
  <c r="S9" i="1"/>
  <c r="Q9" i="1"/>
  <c r="N9" i="1"/>
  <c r="L9" i="1"/>
  <c r="I9" i="1"/>
  <c r="G9" i="1"/>
  <c r="Y9" i="1"/>
  <c r="C15" i="1"/>
  <c r="AO6" i="1"/>
  <c r="AN3" i="1"/>
  <c r="AM3" i="1" l="1"/>
  <c r="AN6" i="1"/>
  <c r="W15" i="1"/>
  <c r="Q15" i="1"/>
  <c r="J15" i="1"/>
  <c r="H15" i="1"/>
  <c r="G15" i="1"/>
  <c r="T15" i="1"/>
  <c r="N15" i="1"/>
  <c r="X15" i="1"/>
  <c r="I15" i="1"/>
  <c r="V15" i="1"/>
  <c r="R15" i="1"/>
  <c r="L15" i="1"/>
  <c r="O15" i="1"/>
  <c r="Y15" i="1"/>
  <c r="S15" i="1"/>
  <c r="M15" i="1"/>
  <c r="AK3" i="1" l="1"/>
  <c r="AM6" i="1"/>
  <c r="AK6" i="1" l="1"/>
  <c r="AJ3" i="1"/>
  <c r="AI3" i="1" l="1"/>
  <c r="AJ6" i="1"/>
  <c r="AH3" i="1" l="1"/>
  <c r="AI6" i="1"/>
  <c r="AH6" i="1" l="1"/>
  <c r="AF3" i="1"/>
  <c r="AF6" i="1" l="1"/>
  <c r="AE3" i="1"/>
  <c r="AE6" i="1" l="1"/>
  <c r="AD3" i="1"/>
  <c r="AD6" i="1" l="1"/>
  <c r="AC3" i="1"/>
  <c r="AC6" i="1" s="1"/>
</calcChain>
</file>

<file path=xl/sharedStrings.xml><?xml version="1.0" encoding="utf-8"?>
<sst xmlns="http://schemas.openxmlformats.org/spreadsheetml/2006/main" count="86" uniqueCount="50">
  <si>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</si>
  <si>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</si>
  <si>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</si>
  <si>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</si>
  <si>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</si>
  <si>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</si>
  <si>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</si>
  <si>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</si>
  <si>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</si>
  <si>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</si>
  <si>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</si>
  <si>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</si>
  <si>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A =</t>
  </si>
  <si>
    <t xml:space="preserve">C = </t>
  </si>
  <si>
    <t>C =</t>
  </si>
  <si>
    <t>A+C =</t>
  </si>
  <si>
    <t>A+C+C =</t>
  </si>
  <si>
    <t>C-A =</t>
  </si>
  <si>
    <t>65536-X4 =</t>
  </si>
  <si>
    <t>-X1 =</t>
  </si>
  <si>
    <t>-X2 =</t>
  </si>
  <si>
    <t>-X3 =</t>
  </si>
  <si>
    <t>-X4 =</t>
  </si>
  <si>
    <t>-X5 =</t>
  </si>
  <si>
    <t>-X6 =</t>
  </si>
  <si>
    <t>B1 =</t>
  </si>
  <si>
    <t>B2 =</t>
  </si>
  <si>
    <t>B3 =</t>
  </si>
  <si>
    <t>B4 =</t>
  </si>
  <si>
    <t>B5 =</t>
  </si>
  <si>
    <t>B6 =</t>
  </si>
  <si>
    <t>B7 =</t>
  </si>
  <si>
    <t>B8 =</t>
  </si>
  <si>
    <t>B9 =</t>
  </si>
  <si>
    <t>B10 =</t>
  </si>
  <si>
    <t>B11 =</t>
  </si>
  <si>
    <t>B12 =</t>
  </si>
  <si>
    <t>-B1 =</t>
  </si>
  <si>
    <t>-B2 =</t>
  </si>
  <si>
    <t>-B3 =</t>
  </si>
  <si>
    <t>-B4 =</t>
  </si>
  <si>
    <t>-B5 =</t>
  </si>
  <si>
    <t>-B6 =</t>
  </si>
  <si>
    <t>.</t>
  </si>
  <si>
    <t>ОДЗ</t>
  </si>
  <si>
    <t>[2^14;2^14-1]=[16384;16383]</t>
  </si>
  <si>
    <t>1)</t>
  </si>
  <si>
    <t>B1(2)=</t>
  </si>
  <si>
    <t>B2(2)=</t>
  </si>
  <si>
    <t xml:space="preserve">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</si>
</sst>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14"/>
      <color rgb="FF24292F"/>
      <name val="Menlo"/>
      <family val="2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0BB7-12A2-274A-A439-D81190E8EF4F}">
  <sheetPr codeName="Лист2"/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21EE-E175-8B41-9D49-F1B52F130D91}">
  <sheetPr codeName="Лист1"/>
  <dimension ref="A1:AV18"/>
  <sheetViews>
    <sheetView tabSelected="1" view="pageLayout" topLeftCell="G1" zoomScale="83" zoomScaleNormal="100" zoomScalePageLayoutView="83" workbookViewId="0">
      <selection activeCell="I9" sqref="I9"/>
    </sheetView>
  </sheetViews>
  <sheetFormatPr baseColWidth="10" defaultRowHeight="16" x14ac:dyDescent="0.2"/>
  <cols>
    <col min="6" max="6" width="18" customWidth="1"/>
    <col min="7" max="25" width="3.1640625" customWidth="1"/>
    <col min="27" max="27" width="2.83203125" customWidth="1"/>
    <col min="29" max="32" width="3.1640625" customWidth="1"/>
    <col min="33" max="35" width="3" customWidth="1"/>
    <col min="36" max="36" width="3.1640625" customWidth="1"/>
    <col min="37" max="38" width="3" customWidth="1"/>
    <col min="39" max="40" width="3.1640625" customWidth="1"/>
    <col min="41" max="41" width="3" customWidth="1"/>
    <col min="42" max="42" width="3.1640625" customWidth="1"/>
    <col min="43" max="43" width="3" customWidth="1"/>
    <col min="44" max="46" width="3.1640625" customWidth="1"/>
    <col min="47" max="47" width="3" customWidth="1"/>
    <col min="48" max="48" width="5.1640625" customWidth="1"/>
  </cols>
  <sheetData>
    <row r="1" spans="1:48" x14ac:dyDescent="0.2">
      <c r="B1" t="s">
        <v>12</v>
      </c>
      <c r="C1">
        <v>4207</v>
      </c>
    </row>
    <row r="2" spans="1:48" x14ac:dyDescent="0.2">
      <c r="B2" t="s">
        <v>13</v>
      </c>
      <c r="C2">
        <v>14708</v>
      </c>
    </row>
    <row r="3" spans="1:48" x14ac:dyDescent="0.2">
      <c r="AC3" s="4">
        <f>IF(AD3+AD4+AD5&gt;=2,1,0)</f>
        <v>0</v>
      </c>
      <c r="AD3" s="4">
        <f>IF(AE3+AE4+AE5&gt;=2,1,0)</f>
        <v>1</v>
      </c>
      <c r="AE3" s="4">
        <f>IF(AF3+AF4+AF5&gt;=2,1,0)</f>
        <v>1</v>
      </c>
      <c r="AF3" s="4">
        <f>IF(AH3+AH4+AH5&gt;=2,1,0)</f>
        <v>0</v>
      </c>
      <c r="AH3" s="4">
        <f>IF(AI3+AI4+AI5&gt;=2,1,0)</f>
        <v>0</v>
      </c>
      <c r="AI3" s="4">
        <f>IF(AJ3+AJ4+AJ5&gt;=2,1,0)</f>
        <v>0</v>
      </c>
      <c r="AJ3" s="4">
        <f>IF(AK3+AK4+AK5&gt;=2,1,0)</f>
        <v>0</v>
      </c>
      <c r="AK3" s="4">
        <f>IF(AM3+AM4+AM5&gt;=2,1,0)</f>
        <v>0</v>
      </c>
      <c r="AM3" s="4">
        <f>IF(AN3+AN4+AN5&gt;=2,1,0)</f>
        <v>1</v>
      </c>
      <c r="AN3" s="4">
        <f>IF(AO3+AO4+AO5&gt;=2,1,0)</f>
        <v>1</v>
      </c>
      <c r="AO3" s="4">
        <f>IF(AP3+AP4+AP5&gt;=2,1,0)</f>
        <v>1</v>
      </c>
      <c r="AP3" s="4">
        <f>IF(AR3+AR4+AR5&gt;=2,1,0)</f>
        <v>1</v>
      </c>
      <c r="AQ3" s="4"/>
      <c r="AR3" s="4">
        <f>IF(AS4+AS5&gt;=2,1,0)</f>
        <v>1</v>
      </c>
      <c r="AS3" s="4">
        <f>IF(AT4+AT5&gt;=2,1,0)</f>
        <v>0</v>
      </c>
      <c r="AT3" s="4">
        <f>IF(AU4+AU5&gt;=2,1,0)</f>
        <v>0</v>
      </c>
    </row>
    <row r="4" spans="1:48" x14ac:dyDescent="0.2">
      <c r="A4" t="s">
        <v>0</v>
      </c>
      <c r="B4" t="s">
        <v>12</v>
      </c>
      <c r="C4">
        <v>4207</v>
      </c>
      <c r="E4" t="s">
        <v>25</v>
      </c>
      <c r="G4">
        <f>MOD(QUOTIENT(C4,32768),2)</f>
        <v>0</v>
      </c>
      <c r="H4">
        <f>MOD(QUOTIENT(C4,16384),2)</f>
        <v>0</v>
      </c>
      <c r="I4">
        <f>MOD(QUOTIENT(C4,8192),2)</f>
        <v>0</v>
      </c>
      <c r="J4">
        <f>MOD(QUOTIENT(C4,4096),2)</f>
        <v>1</v>
      </c>
      <c r="K4" t="s">
        <v>43</v>
      </c>
      <c r="L4">
        <f>MOD(QUOTIENT(C4,2048),2)</f>
        <v>0</v>
      </c>
      <c r="M4">
        <f>MOD(QUOTIENT(C4,1024),2)</f>
        <v>0</v>
      </c>
      <c r="N4">
        <f>MOD(QUOTIENT(C4,512),2)</f>
        <v>0</v>
      </c>
      <c r="O4">
        <f>MOD(QUOTIENT(C4,256),2)</f>
        <v>0</v>
      </c>
      <c r="P4" t="s">
        <v>43</v>
      </c>
      <c r="Q4">
        <f>MOD(QUOTIENT(C4,128),2)</f>
        <v>0</v>
      </c>
      <c r="R4">
        <f>MOD(QUOTIENT(C4,64),2)</f>
        <v>1</v>
      </c>
      <c r="S4">
        <f>MOD(QUOTIENT(C4,32),2)</f>
        <v>1</v>
      </c>
      <c r="T4">
        <f>MOD(QUOTIENT(C4,16),2)</f>
        <v>0</v>
      </c>
      <c r="U4" t="s">
        <v>43</v>
      </c>
      <c r="V4">
        <f>MOD(QUOTIENT(C4,8),2)</f>
        <v>1</v>
      </c>
      <c r="W4">
        <f>MOD(QUOTIENT(C4,4),2)</f>
        <v>1</v>
      </c>
      <c r="X4">
        <f>MOD(QUOTIENT(C4,2),2)</f>
        <v>1</v>
      </c>
      <c r="Y4">
        <f>MOD(C4,2)</f>
        <v>1</v>
      </c>
      <c r="AA4" t="s">
        <v>46</v>
      </c>
      <c r="AB4" t="s">
        <v>47</v>
      </c>
      <c r="AC4">
        <f t="shared" ref="AC4:AH5" si="0">G4</f>
        <v>0</v>
      </c>
      <c r="AD4">
        <f t="shared" si="0"/>
        <v>0</v>
      </c>
      <c r="AE4">
        <f t="shared" si="0"/>
        <v>0</v>
      </c>
      <c r="AF4">
        <f t="shared" si="0"/>
        <v>1</v>
      </c>
      <c r="AG4" t="str">
        <f t="shared" si="0"/>
        <v>.</v>
      </c>
      <c r="AH4">
        <f t="shared" si="0"/>
        <v>0</v>
      </c>
      <c r="AI4">
        <f t="shared" ref="AI4:AU4" si="1">M4</f>
        <v>0</v>
      </c>
      <c r="AJ4">
        <f t="shared" si="1"/>
        <v>0</v>
      </c>
      <c r="AK4">
        <f t="shared" si="1"/>
        <v>0</v>
      </c>
      <c r="AL4" t="str">
        <f t="shared" si="1"/>
        <v>.</v>
      </c>
      <c r="AM4">
        <f t="shared" si="1"/>
        <v>0</v>
      </c>
      <c r="AN4">
        <f t="shared" si="1"/>
        <v>1</v>
      </c>
      <c r="AO4">
        <f t="shared" si="1"/>
        <v>1</v>
      </c>
      <c r="AP4">
        <f t="shared" si="1"/>
        <v>0</v>
      </c>
      <c r="AQ4" t="str">
        <f t="shared" si="1"/>
        <v>.</v>
      </c>
      <c r="AR4">
        <f t="shared" si="1"/>
        <v>1</v>
      </c>
      <c r="AS4">
        <f t="shared" si="1"/>
        <v>1</v>
      </c>
      <c r="AT4">
        <f t="shared" si="1"/>
        <v>1</v>
      </c>
      <c r="AU4">
        <f t="shared" si="1"/>
        <v>1</v>
      </c>
    </row>
    <row r="5" spans="1:48" x14ac:dyDescent="0.2">
      <c r="A5" t="s">
        <v>1</v>
      </c>
      <c r="B5" t="s">
        <v>14</v>
      </c>
      <c r="C5">
        <v>14708</v>
      </c>
      <c r="E5" t="s">
        <v>26</v>
      </c>
      <c r="G5">
        <f t="shared" ref="G5:G9" si="2">MOD(QUOTIENT(C5,32768),2)</f>
        <v>0</v>
      </c>
      <c r="H5">
        <f t="shared" ref="H5:H9" si="3">MOD(QUOTIENT(C5,16384),2)</f>
        <v>0</v>
      </c>
      <c r="I5">
        <f t="shared" ref="I5:I9" si="4">MOD(QUOTIENT(C5,8192),2)</f>
        <v>1</v>
      </c>
      <c r="J5">
        <f t="shared" ref="J5:J9" si="5">MOD(QUOTIENT(C5,4096),2)</f>
        <v>1</v>
      </c>
      <c r="K5" t="s">
        <v>43</v>
      </c>
      <c r="L5">
        <f t="shared" ref="L5:L9" si="6">MOD(QUOTIENT(C5,2048),2)</f>
        <v>1</v>
      </c>
      <c r="M5">
        <f t="shared" ref="M5:M9" si="7">MOD(QUOTIENT(C5,1024),2)</f>
        <v>0</v>
      </c>
      <c r="N5">
        <f t="shared" ref="N5:N9" si="8">MOD(QUOTIENT(C5,512),2)</f>
        <v>0</v>
      </c>
      <c r="O5">
        <f t="shared" ref="O5:O9" si="9">MOD(QUOTIENT(C5,256),2)</f>
        <v>1</v>
      </c>
      <c r="P5" t="s">
        <v>43</v>
      </c>
      <c r="Q5">
        <f t="shared" ref="Q5:Q9" si="10">MOD(QUOTIENT(C5,128),2)</f>
        <v>0</v>
      </c>
      <c r="R5">
        <f t="shared" ref="R5:R9" si="11">MOD(QUOTIENT(C5,64),2)</f>
        <v>1</v>
      </c>
      <c r="S5">
        <f t="shared" ref="S5:S9" si="12">MOD(QUOTIENT(C5,32),2)</f>
        <v>1</v>
      </c>
      <c r="T5">
        <v>1</v>
      </c>
      <c r="U5" t="s">
        <v>43</v>
      </c>
      <c r="V5">
        <f t="shared" ref="V5:V8" si="13">MOD(QUOTIENT(C5,8),2)</f>
        <v>0</v>
      </c>
      <c r="W5">
        <f t="shared" ref="W5:W8" si="14">MOD(QUOTIENT(C5,4),2)</f>
        <v>1</v>
      </c>
      <c r="X5">
        <f t="shared" ref="X5:X9" si="15">MOD(QUOTIENT(C5,2),2)</f>
        <v>0</v>
      </c>
      <c r="Y5">
        <f t="shared" ref="Y5:Y9" si="16">MOD(C5,2)</f>
        <v>0</v>
      </c>
      <c r="AB5" t="s">
        <v>48</v>
      </c>
      <c r="AC5" s="3">
        <f t="shared" si="0"/>
        <v>0</v>
      </c>
      <c r="AD5" s="3">
        <f t="shared" si="0"/>
        <v>0</v>
      </c>
      <c r="AE5" s="3">
        <f t="shared" si="0"/>
        <v>1</v>
      </c>
      <c r="AF5" s="3">
        <f t="shared" si="0"/>
        <v>1</v>
      </c>
      <c r="AG5" s="3" t="str">
        <f t="shared" si="0"/>
        <v>.</v>
      </c>
      <c r="AH5" s="3">
        <f t="shared" si="0"/>
        <v>1</v>
      </c>
      <c r="AI5" s="3">
        <f t="shared" ref="AI5" si="17">M5</f>
        <v>0</v>
      </c>
      <c r="AJ5" s="3">
        <f t="shared" ref="AJ5" si="18">N5</f>
        <v>0</v>
      </c>
      <c r="AK5" s="3">
        <f t="shared" ref="AK5" si="19">O5</f>
        <v>1</v>
      </c>
      <c r="AL5" s="3" t="str">
        <f t="shared" ref="AL5" si="20">P5</f>
        <v>.</v>
      </c>
      <c r="AM5" s="3">
        <f t="shared" ref="AM5" si="21">Q5</f>
        <v>0</v>
      </c>
      <c r="AN5" s="3">
        <f t="shared" ref="AN5" si="22">R5</f>
        <v>1</v>
      </c>
      <c r="AO5" s="3">
        <f t="shared" ref="AO5" si="23">S5</f>
        <v>1</v>
      </c>
      <c r="AP5" s="3">
        <f t="shared" ref="AP5" si="24">T5</f>
        <v>1</v>
      </c>
      <c r="AQ5" s="3" t="str">
        <f t="shared" ref="AQ5" si="25">U5</f>
        <v>.</v>
      </c>
      <c r="AR5" s="3">
        <f t="shared" ref="AR5" si="26">V5</f>
        <v>0</v>
      </c>
      <c r="AS5" s="3">
        <f t="shared" ref="AS5" si="27">W5</f>
        <v>1</v>
      </c>
      <c r="AT5" s="3">
        <f t="shared" ref="AT5" si="28">X5</f>
        <v>0</v>
      </c>
      <c r="AU5" s="3">
        <f t="shared" ref="AU5" si="29">Y5</f>
        <v>0</v>
      </c>
    </row>
    <row r="6" spans="1:48" x14ac:dyDescent="0.2">
      <c r="A6" t="s">
        <v>2</v>
      </c>
      <c r="B6" t="s">
        <v>15</v>
      </c>
      <c r="C6">
        <f>C4+C5</f>
        <v>18915</v>
      </c>
      <c r="E6" t="s">
        <v>27</v>
      </c>
      <c r="G6">
        <f t="shared" si="2"/>
        <v>0</v>
      </c>
      <c r="H6">
        <f t="shared" si="3"/>
        <v>1</v>
      </c>
      <c r="I6">
        <f t="shared" si="4"/>
        <v>0</v>
      </c>
      <c r="J6">
        <f t="shared" si="5"/>
        <v>0</v>
      </c>
      <c r="K6" t="s">
        <v>43</v>
      </c>
      <c r="L6">
        <f t="shared" si="6"/>
        <v>1</v>
      </c>
      <c r="M6">
        <f t="shared" si="7"/>
        <v>0</v>
      </c>
      <c r="N6">
        <f t="shared" si="8"/>
        <v>0</v>
      </c>
      <c r="O6">
        <f t="shared" si="9"/>
        <v>1</v>
      </c>
      <c r="P6" t="s">
        <v>43</v>
      </c>
      <c r="Q6">
        <f t="shared" si="10"/>
        <v>1</v>
      </c>
      <c r="R6">
        <f t="shared" si="11"/>
        <v>1</v>
      </c>
      <c r="S6">
        <f t="shared" si="12"/>
        <v>1</v>
      </c>
      <c r="T6">
        <v>0</v>
      </c>
      <c r="U6" t="s">
        <v>43</v>
      </c>
      <c r="V6">
        <f t="shared" si="13"/>
        <v>0</v>
      </c>
      <c r="W6">
        <f t="shared" si="14"/>
        <v>0</v>
      </c>
      <c r="X6">
        <f t="shared" si="15"/>
        <v>1</v>
      </c>
      <c r="Y6">
        <f t="shared" si="16"/>
        <v>1</v>
      </c>
      <c r="AC6">
        <f>MOD(AC3+AC4+AC5,2)</f>
        <v>0</v>
      </c>
      <c r="AD6">
        <f t="shared" ref="AD6:AF6" si="30">MOD(AD3+AD4+AD5,2)</f>
        <v>1</v>
      </c>
      <c r="AE6">
        <f t="shared" si="30"/>
        <v>0</v>
      </c>
      <c r="AF6">
        <f t="shared" si="30"/>
        <v>0</v>
      </c>
      <c r="AH6">
        <f>MOD(AH3+AH4+AH5,2)</f>
        <v>1</v>
      </c>
      <c r="AI6">
        <f t="shared" ref="AI6:AK6" si="31">MOD(AI3+AI4+AI5,2)</f>
        <v>0</v>
      </c>
      <c r="AJ6">
        <f t="shared" si="31"/>
        <v>0</v>
      </c>
      <c r="AK6">
        <f t="shared" si="31"/>
        <v>1</v>
      </c>
      <c r="AM6">
        <f>MOD(AM3+AM4+AM5,2)</f>
        <v>1</v>
      </c>
      <c r="AN6">
        <f t="shared" ref="AN6:AP6" si="32">MOD(AN3+AN4+AN5,2)</f>
        <v>1</v>
      </c>
      <c r="AO6">
        <f t="shared" si="32"/>
        <v>1</v>
      </c>
      <c r="AP6">
        <f t="shared" si="32"/>
        <v>0</v>
      </c>
      <c r="AR6">
        <f>MOD(AR3+AR4+AR5,2)</f>
        <v>0</v>
      </c>
      <c r="AS6">
        <f t="shared" ref="AS6:AU6" si="33">MOD(AS3+AS4+AS5,2)</f>
        <v>0</v>
      </c>
      <c r="AT6">
        <f t="shared" si="33"/>
        <v>1</v>
      </c>
      <c r="AU6">
        <f t="shared" si="33"/>
        <v>1</v>
      </c>
      <c r="AV6" t="s">
        <v>49</v>
      </c>
    </row>
    <row r="7" spans="1:48" x14ac:dyDescent="0.2">
      <c r="A7" t="s">
        <v>3</v>
      </c>
      <c r="B7" t="s">
        <v>16</v>
      </c>
      <c r="C7">
        <f>C4+C5+C5</f>
        <v>33623</v>
      </c>
      <c r="E7" t="s">
        <v>28</v>
      </c>
      <c r="G7">
        <f t="shared" si="2"/>
        <v>1</v>
      </c>
      <c r="H7">
        <f t="shared" si="3"/>
        <v>0</v>
      </c>
      <c r="I7">
        <f t="shared" si="4"/>
        <v>0</v>
      </c>
      <c r="J7">
        <f t="shared" si="5"/>
        <v>0</v>
      </c>
      <c r="K7" t="s">
        <v>43</v>
      </c>
      <c r="L7">
        <f t="shared" si="6"/>
        <v>0</v>
      </c>
      <c r="M7">
        <f t="shared" si="7"/>
        <v>0</v>
      </c>
      <c r="N7">
        <f t="shared" si="8"/>
        <v>1</v>
      </c>
      <c r="O7">
        <f t="shared" si="9"/>
        <v>1</v>
      </c>
      <c r="P7" t="s">
        <v>43</v>
      </c>
      <c r="Q7">
        <f t="shared" si="10"/>
        <v>0</v>
      </c>
      <c r="R7">
        <f t="shared" si="11"/>
        <v>1</v>
      </c>
      <c r="S7">
        <f t="shared" si="12"/>
        <v>0</v>
      </c>
      <c r="T7">
        <v>1</v>
      </c>
      <c r="U7" t="s">
        <v>43</v>
      </c>
      <c r="V7">
        <f t="shared" si="13"/>
        <v>0</v>
      </c>
      <c r="W7">
        <f t="shared" si="14"/>
        <v>1</v>
      </c>
      <c r="X7">
        <f t="shared" si="15"/>
        <v>1</v>
      </c>
      <c r="Y7">
        <f t="shared" si="16"/>
        <v>1</v>
      </c>
    </row>
    <row r="8" spans="1:48" x14ac:dyDescent="0.2">
      <c r="A8" t="s">
        <v>4</v>
      </c>
      <c r="B8" t="s">
        <v>17</v>
      </c>
      <c r="C8">
        <f>C5-C4</f>
        <v>10501</v>
      </c>
      <c r="E8" t="s">
        <v>29</v>
      </c>
      <c r="G8">
        <f t="shared" si="2"/>
        <v>0</v>
      </c>
      <c r="H8">
        <f t="shared" si="3"/>
        <v>0</v>
      </c>
      <c r="I8">
        <f t="shared" si="4"/>
        <v>1</v>
      </c>
      <c r="J8">
        <f t="shared" si="5"/>
        <v>0</v>
      </c>
      <c r="K8" t="s">
        <v>43</v>
      </c>
      <c r="L8">
        <f t="shared" si="6"/>
        <v>1</v>
      </c>
      <c r="M8">
        <f t="shared" si="7"/>
        <v>0</v>
      </c>
      <c r="N8">
        <f t="shared" si="8"/>
        <v>0</v>
      </c>
      <c r="O8">
        <f t="shared" si="9"/>
        <v>1</v>
      </c>
      <c r="P8" t="s">
        <v>43</v>
      </c>
      <c r="Q8">
        <f t="shared" si="10"/>
        <v>0</v>
      </c>
      <c r="R8">
        <f t="shared" si="11"/>
        <v>0</v>
      </c>
      <c r="S8">
        <f t="shared" si="12"/>
        <v>0</v>
      </c>
      <c r="T8">
        <v>0</v>
      </c>
      <c r="U8" t="s">
        <v>43</v>
      </c>
      <c r="V8">
        <f t="shared" si="13"/>
        <v>0</v>
      </c>
      <c r="W8">
        <f t="shared" si="14"/>
        <v>1</v>
      </c>
      <c r="X8">
        <f t="shared" si="15"/>
        <v>0</v>
      </c>
      <c r="Y8">
        <f t="shared" si="16"/>
        <v>1</v>
      </c>
    </row>
    <row r="9" spans="1:48" x14ac:dyDescent="0.2">
      <c r="A9" t="s">
        <v>5</v>
      </c>
      <c r="B9" t="s">
        <v>18</v>
      </c>
      <c r="C9">
        <f>65536-C7</f>
        <v>31913</v>
      </c>
      <c r="E9" t="s">
        <v>30</v>
      </c>
      <c r="G9">
        <f t="shared" si="2"/>
        <v>0</v>
      </c>
      <c r="H9">
        <f t="shared" si="3"/>
        <v>1</v>
      </c>
      <c r="I9">
        <f t="shared" si="4"/>
        <v>1</v>
      </c>
      <c r="J9">
        <f t="shared" si="5"/>
        <v>1</v>
      </c>
      <c r="K9" t="s">
        <v>43</v>
      </c>
      <c r="L9">
        <f t="shared" si="6"/>
        <v>1</v>
      </c>
      <c r="M9">
        <f t="shared" si="7"/>
        <v>1</v>
      </c>
      <c r="N9">
        <f t="shared" si="8"/>
        <v>0</v>
      </c>
      <c r="O9">
        <f t="shared" si="9"/>
        <v>0</v>
      </c>
      <c r="P9" t="s">
        <v>43</v>
      </c>
      <c r="Q9">
        <f t="shared" si="10"/>
        <v>1</v>
      </c>
      <c r="R9">
        <f t="shared" si="11"/>
        <v>0</v>
      </c>
      <c r="S9">
        <f t="shared" si="12"/>
        <v>1</v>
      </c>
      <c r="T9">
        <v>0</v>
      </c>
      <c r="U9" t="s">
        <v>43</v>
      </c>
      <c r="V9">
        <v>1</v>
      </c>
      <c r="W9">
        <v>0</v>
      </c>
      <c r="X9">
        <f t="shared" si="15"/>
        <v>0</v>
      </c>
      <c r="Y9">
        <f t="shared" si="16"/>
        <v>1</v>
      </c>
    </row>
    <row r="10" spans="1:48" x14ac:dyDescent="0.2">
      <c r="A10" t="s">
        <v>6</v>
      </c>
      <c r="B10" s="1" t="s">
        <v>19</v>
      </c>
      <c r="C10">
        <f t="shared" ref="C10:C15" si="34">-C4</f>
        <v>-4207</v>
      </c>
      <c r="E10" t="s">
        <v>31</v>
      </c>
      <c r="F10" s="1" t="s">
        <v>37</v>
      </c>
      <c r="G10">
        <f>MOD(QUOTIENT(POWER(2,16)+C10,POWER(2,15)),2)</f>
        <v>1</v>
      </c>
      <c r="H10">
        <f t="shared" ref="H10:H15" si="35">MOD(QUOTIENT(POWER(2,16)+C10,POWER(2,14)),2)</f>
        <v>1</v>
      </c>
      <c r="I10">
        <f>MOD(QUOTIENT(POWER(2,16)+C10,POWER(2,13)),2)</f>
        <v>1</v>
      </c>
      <c r="J10">
        <f>MOD(QUOTIENT(POWER(2,16)+C10,POWER(2,12)),2)</f>
        <v>0</v>
      </c>
      <c r="K10" t="s">
        <v>43</v>
      </c>
      <c r="L10">
        <f>MOD(QUOTIENT(POWER(2,16)+C10,POWER(2,11)),2)</f>
        <v>1</v>
      </c>
      <c r="M10">
        <f>MOD(QUOTIENT(POWER(2,16)+C10,POWER(2,10)),2)</f>
        <v>1</v>
      </c>
      <c r="N10">
        <f>MOD(QUOTIENT(POWER(2,16)+C10,POWER(2,9)),2)</f>
        <v>1</v>
      </c>
      <c r="O10">
        <f>MOD(QUOTIENT(POWER(2,16)+C10,POWER(2,8)),2)</f>
        <v>1</v>
      </c>
      <c r="P10" t="s">
        <v>43</v>
      </c>
      <c r="Q10">
        <f>MOD(QUOTIENT(POWER(2,16)+C10,POWER(2,7)),2)</f>
        <v>1</v>
      </c>
      <c r="R10">
        <f>MOD(QUOTIENT(POWER(2,16)+C10,POWER(2,6)),2)</f>
        <v>0</v>
      </c>
      <c r="S10">
        <f>MOD(QUOTIENT(POWER(2,16)+C10,POWER(2,5)),2)</f>
        <v>0</v>
      </c>
      <c r="T10">
        <f>MOD(QUOTIENT(POWER(2,16)+C10,POWER(2,4)),2)</f>
        <v>1</v>
      </c>
      <c r="U10" t="s">
        <v>43</v>
      </c>
      <c r="V10">
        <f>MOD(QUOTIENT(POWER(2,16)+C10,POWER(2,3)),2)</f>
        <v>0</v>
      </c>
      <c r="W10">
        <f>MOD(QUOTIENT(POWER(2,16)+C10,POWER(2,2)),2)</f>
        <v>0</v>
      </c>
      <c r="X10">
        <f>MOD(QUOTIENT(POWER(2,16)+C10,POWER(2,1)),2)</f>
        <v>0</v>
      </c>
      <c r="Y10">
        <f>MOD(QUOTIENT(POWER(2,16)+C10,POWER(2,0)),2)</f>
        <v>1</v>
      </c>
    </row>
    <row r="11" spans="1:48" x14ac:dyDescent="0.2">
      <c r="A11" t="s">
        <v>7</v>
      </c>
      <c r="B11" s="1" t="s">
        <v>20</v>
      </c>
      <c r="C11">
        <f t="shared" si="34"/>
        <v>-14708</v>
      </c>
      <c r="E11" t="s">
        <v>32</v>
      </c>
      <c r="F11" s="1" t="s">
        <v>38</v>
      </c>
      <c r="G11">
        <f t="shared" ref="G11:G15" si="36">MOD(QUOTIENT(POWER(2,16)+C11,POWER(2,15)),2)</f>
        <v>1</v>
      </c>
      <c r="H11">
        <f t="shared" si="35"/>
        <v>1</v>
      </c>
      <c r="I11">
        <f t="shared" ref="I11:I15" si="37">MOD(QUOTIENT(POWER(2,16)+C11,POWER(2,13)),2)</f>
        <v>0</v>
      </c>
      <c r="J11">
        <f t="shared" ref="J11:J15" si="38">MOD(QUOTIENT(POWER(2,16)+C11,POWER(2,12)),2)</f>
        <v>0</v>
      </c>
      <c r="K11" t="s">
        <v>43</v>
      </c>
      <c r="L11">
        <f t="shared" ref="L11:L15" si="39">MOD(QUOTIENT(POWER(2,16)+C11,POWER(2,11)),2)</f>
        <v>0</v>
      </c>
      <c r="M11">
        <f t="shared" ref="M11:M15" si="40">MOD(QUOTIENT(POWER(2,16)+C11,POWER(2,10)),2)</f>
        <v>1</v>
      </c>
      <c r="N11">
        <f t="shared" ref="N11:N15" si="41">MOD(QUOTIENT(POWER(2,16)+C11,POWER(2,9)),2)</f>
        <v>1</v>
      </c>
      <c r="O11">
        <f t="shared" ref="O11:O15" si="42">MOD(QUOTIENT(POWER(2,16)+C11,POWER(2,8)),2)</f>
        <v>0</v>
      </c>
      <c r="P11" t="s">
        <v>43</v>
      </c>
      <c r="Q11">
        <f t="shared" ref="Q11:Q15" si="43">MOD(QUOTIENT(POWER(2,16)+C11,POWER(2,7)),2)</f>
        <v>1</v>
      </c>
      <c r="R11">
        <f t="shared" ref="R11:R15" si="44">MOD(QUOTIENT(POWER(2,16)+C11,POWER(2,6)),2)</f>
        <v>0</v>
      </c>
      <c r="S11">
        <f t="shared" ref="S11:S15" si="45">MOD(QUOTIENT(POWER(2,16)+C11,POWER(2,5)),2)</f>
        <v>0</v>
      </c>
      <c r="T11">
        <f t="shared" ref="T11:T15" si="46">MOD(QUOTIENT(POWER(2,16)+C11,POWER(2,4)),2)</f>
        <v>0</v>
      </c>
      <c r="U11" t="s">
        <v>43</v>
      </c>
      <c r="V11">
        <f t="shared" ref="V11:V14" si="47">MOD(QUOTIENT(POWER(2,16)+C11,POWER(2,3)),2)</f>
        <v>1</v>
      </c>
      <c r="W11">
        <f t="shared" ref="W11:W15" si="48">MOD(QUOTIENT(POWER(2,16)+C11,POWER(2,2)),2)</f>
        <v>1</v>
      </c>
      <c r="X11">
        <f t="shared" ref="X11:X15" si="49">MOD(QUOTIENT(POWER(2,16)+C11,POWER(2,1)),2)</f>
        <v>0</v>
      </c>
      <c r="Y11">
        <f t="shared" ref="Y11:Y15" si="50">MOD(QUOTIENT(POWER(2,16)+C11,POWER(2,0)),2)</f>
        <v>0</v>
      </c>
    </row>
    <row r="12" spans="1:48" x14ac:dyDescent="0.2">
      <c r="A12" t="s">
        <v>8</v>
      </c>
      <c r="B12" s="1" t="s">
        <v>21</v>
      </c>
      <c r="C12">
        <f t="shared" si="34"/>
        <v>-18915</v>
      </c>
      <c r="E12" t="s">
        <v>33</v>
      </c>
      <c r="F12" s="1" t="s">
        <v>39</v>
      </c>
      <c r="G12">
        <f t="shared" si="36"/>
        <v>1</v>
      </c>
      <c r="H12">
        <f t="shared" si="35"/>
        <v>0</v>
      </c>
      <c r="I12">
        <f t="shared" si="37"/>
        <v>1</v>
      </c>
      <c r="J12">
        <f t="shared" si="38"/>
        <v>1</v>
      </c>
      <c r="K12" t="s">
        <v>43</v>
      </c>
      <c r="L12">
        <f t="shared" si="39"/>
        <v>0</v>
      </c>
      <c r="M12">
        <f t="shared" si="40"/>
        <v>1</v>
      </c>
      <c r="N12">
        <f t="shared" si="41"/>
        <v>1</v>
      </c>
      <c r="O12">
        <f t="shared" si="42"/>
        <v>0</v>
      </c>
      <c r="P12" t="s">
        <v>43</v>
      </c>
      <c r="Q12">
        <f t="shared" si="43"/>
        <v>0</v>
      </c>
      <c r="R12">
        <f t="shared" si="44"/>
        <v>0</v>
      </c>
      <c r="S12">
        <f t="shared" si="45"/>
        <v>0</v>
      </c>
      <c r="T12">
        <f t="shared" si="46"/>
        <v>1</v>
      </c>
      <c r="U12" t="s">
        <v>43</v>
      </c>
      <c r="V12">
        <f t="shared" si="47"/>
        <v>1</v>
      </c>
      <c r="W12">
        <f t="shared" si="48"/>
        <v>1</v>
      </c>
      <c r="X12">
        <f t="shared" si="49"/>
        <v>0</v>
      </c>
      <c r="Y12">
        <f t="shared" si="50"/>
        <v>1</v>
      </c>
    </row>
    <row r="13" spans="1:48" x14ac:dyDescent="0.2">
      <c r="A13" t="s">
        <v>9</v>
      </c>
      <c r="B13" s="1" t="s">
        <v>22</v>
      </c>
      <c r="C13">
        <f t="shared" si="34"/>
        <v>-33623</v>
      </c>
      <c r="E13" t="s">
        <v>34</v>
      </c>
      <c r="F13" s="1" t="s">
        <v>40</v>
      </c>
      <c r="G13">
        <f t="shared" si="36"/>
        <v>0</v>
      </c>
      <c r="H13">
        <f t="shared" si="35"/>
        <v>1</v>
      </c>
      <c r="I13">
        <f t="shared" si="37"/>
        <v>1</v>
      </c>
      <c r="J13">
        <f t="shared" si="38"/>
        <v>1</v>
      </c>
      <c r="K13" t="s">
        <v>43</v>
      </c>
      <c r="L13">
        <f t="shared" si="39"/>
        <v>1</v>
      </c>
      <c r="M13">
        <f t="shared" si="40"/>
        <v>1</v>
      </c>
      <c r="N13">
        <f t="shared" si="41"/>
        <v>0</v>
      </c>
      <c r="O13">
        <f t="shared" si="42"/>
        <v>0</v>
      </c>
      <c r="P13" t="s">
        <v>43</v>
      </c>
      <c r="Q13">
        <f t="shared" si="43"/>
        <v>1</v>
      </c>
      <c r="R13">
        <f t="shared" si="44"/>
        <v>0</v>
      </c>
      <c r="S13">
        <f t="shared" si="45"/>
        <v>1</v>
      </c>
      <c r="T13">
        <f t="shared" si="46"/>
        <v>0</v>
      </c>
      <c r="U13" t="s">
        <v>43</v>
      </c>
      <c r="V13">
        <f t="shared" si="47"/>
        <v>1</v>
      </c>
      <c r="W13">
        <f t="shared" si="48"/>
        <v>0</v>
      </c>
      <c r="X13">
        <f t="shared" si="49"/>
        <v>0</v>
      </c>
      <c r="Y13">
        <f t="shared" si="50"/>
        <v>1</v>
      </c>
    </row>
    <row r="14" spans="1:48" x14ac:dyDescent="0.2">
      <c r="A14" t="s">
        <v>10</v>
      </c>
      <c r="B14" s="1" t="s">
        <v>23</v>
      </c>
      <c r="C14">
        <f t="shared" si="34"/>
        <v>-10501</v>
      </c>
      <c r="E14" t="s">
        <v>35</v>
      </c>
      <c r="F14" s="1" t="s">
        <v>41</v>
      </c>
      <c r="G14">
        <f t="shared" si="36"/>
        <v>1</v>
      </c>
      <c r="H14">
        <f t="shared" si="35"/>
        <v>1</v>
      </c>
      <c r="I14">
        <f t="shared" si="37"/>
        <v>0</v>
      </c>
      <c r="J14">
        <f t="shared" si="38"/>
        <v>1</v>
      </c>
      <c r="K14" t="s">
        <v>43</v>
      </c>
      <c r="L14">
        <f t="shared" si="39"/>
        <v>0</v>
      </c>
      <c r="M14">
        <f t="shared" si="40"/>
        <v>1</v>
      </c>
      <c r="N14">
        <f t="shared" si="41"/>
        <v>1</v>
      </c>
      <c r="O14">
        <f t="shared" si="42"/>
        <v>0</v>
      </c>
      <c r="P14" t="s">
        <v>43</v>
      </c>
      <c r="Q14">
        <f t="shared" si="43"/>
        <v>1</v>
      </c>
      <c r="R14">
        <f t="shared" si="44"/>
        <v>1</v>
      </c>
      <c r="S14">
        <f t="shared" si="45"/>
        <v>1</v>
      </c>
      <c r="T14">
        <f t="shared" si="46"/>
        <v>1</v>
      </c>
      <c r="U14" t="s">
        <v>43</v>
      </c>
      <c r="V14">
        <f t="shared" si="47"/>
        <v>1</v>
      </c>
      <c r="W14">
        <f t="shared" si="48"/>
        <v>0</v>
      </c>
      <c r="X14">
        <f t="shared" si="49"/>
        <v>1</v>
      </c>
      <c r="Y14">
        <f t="shared" si="50"/>
        <v>1</v>
      </c>
    </row>
    <row r="15" spans="1:48" x14ac:dyDescent="0.2">
      <c r="A15" t="s">
        <v>11</v>
      </c>
      <c r="B15" s="1" t="s">
        <v>24</v>
      </c>
      <c r="C15">
        <f t="shared" si="34"/>
        <v>-31913</v>
      </c>
      <c r="E15" t="s">
        <v>36</v>
      </c>
      <c r="F15" s="1" t="s">
        <v>42</v>
      </c>
      <c r="G15">
        <f t="shared" si="36"/>
        <v>1</v>
      </c>
      <c r="H15">
        <f t="shared" si="35"/>
        <v>0</v>
      </c>
      <c r="I15">
        <f t="shared" si="37"/>
        <v>0</v>
      </c>
      <c r="J15">
        <f t="shared" si="38"/>
        <v>0</v>
      </c>
      <c r="K15" t="s">
        <v>43</v>
      </c>
      <c r="L15">
        <f t="shared" si="39"/>
        <v>0</v>
      </c>
      <c r="M15">
        <f t="shared" si="40"/>
        <v>0</v>
      </c>
      <c r="N15">
        <f t="shared" si="41"/>
        <v>1</v>
      </c>
      <c r="O15">
        <f t="shared" si="42"/>
        <v>1</v>
      </c>
      <c r="P15" t="s">
        <v>43</v>
      </c>
      <c r="Q15">
        <f t="shared" si="43"/>
        <v>0</v>
      </c>
      <c r="R15">
        <f t="shared" si="44"/>
        <v>1</v>
      </c>
      <c r="S15">
        <f t="shared" si="45"/>
        <v>0</v>
      </c>
      <c r="T15">
        <f t="shared" si="46"/>
        <v>1</v>
      </c>
      <c r="U15" t="s">
        <v>43</v>
      </c>
      <c r="V15">
        <f>MOD(QUOTIENT(POWER(2,16)+C15,POWER(2,3)),2)</f>
        <v>0</v>
      </c>
      <c r="W15">
        <f t="shared" si="48"/>
        <v>1</v>
      </c>
      <c r="X15">
        <f t="shared" si="49"/>
        <v>1</v>
      </c>
      <c r="Y15">
        <f t="shared" si="50"/>
        <v>1</v>
      </c>
    </row>
    <row r="17" spans="2:5" ht="19" x14ac:dyDescent="0.25">
      <c r="B17" s="2" t="s">
        <v>44</v>
      </c>
    </row>
    <row r="18" spans="2:5" ht="18" x14ac:dyDescent="0.2">
      <c r="B18" s="5" t="s">
        <v>45</v>
      </c>
      <c r="C18" s="5"/>
      <c r="D18" s="5"/>
      <c r="E18" s="5"/>
    </row>
  </sheetData>
  <mergeCells count="1">
    <mergeCell ref="B18:E18"/>
  </mergeCells>
  <pageMargins left="0.7" right="0.7" top="0.75" bottom="0.75" header="0.3" footer="0.3"/>
  <pageSetup paperSize="9" orientation="portrait" horizontalDpi="0" verticalDpi="0"/>
  <headerFooter>
    <oddHeader>&amp;LПетрова Анастасия &amp;CВарианте 16&amp;RОсновное задание</oddHeader>
    <oddFooter xml:space="preserve">&amp;C             22 ноября,1:05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Anastasiia</dc:creator>
  <cp:lastModifiedBy>Anastasiia</cp:lastModifiedBy>
  <dcterms:created xsi:type="dcterms:W3CDTF">2022-11-27T17:43:58Z</dcterms:created>
  <dcterms:modified xsi:type="dcterms:W3CDTF">2022-12-06T22:40:28Z</dcterms:modified>
</cp:coreProperties>
</file>